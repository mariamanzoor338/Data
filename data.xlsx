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ia\Downloads\synopsis\"/>
    </mc:Choice>
  </mc:AlternateContent>
  <xr:revisionPtr revIDLastSave="0" documentId="13_ncr:1_{78FE938F-AD87-4ED4-B389-0B8097B6C7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  <sheet name="Sheet4" sheetId="6" r:id="rId4"/>
    <sheet name="Sheet5" sheetId="5" r:id="rId5"/>
    <sheet name="Sheet6" sheetId="7" r:id="rId6"/>
    <sheet name="Sheet7" sheetId="8" r:id="rId7"/>
    <sheet name="Sheet8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6" l="1"/>
  <c r="B4" i="6"/>
  <c r="Q3" i="6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AO49" i="1"/>
  <c r="AN49" i="1"/>
  <c r="AM49" i="1"/>
  <c r="AL49" i="1"/>
  <c r="AK49" i="1"/>
  <c r="AJ49" i="1"/>
  <c r="AF49" i="1"/>
  <c r="AE49" i="1"/>
  <c r="AD49" i="1"/>
  <c r="AC49" i="1"/>
  <c r="AB49" i="1"/>
  <c r="AA49" i="1"/>
  <c r="Z49" i="1"/>
  <c r="Y49" i="1"/>
  <c r="X49" i="1"/>
  <c r="W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D48" i="1"/>
  <c r="C49" i="1"/>
  <c r="AO48" i="1"/>
  <c r="AN48" i="1"/>
  <c r="AM48" i="1"/>
  <c r="AL48" i="1"/>
  <c r="AK48" i="1"/>
  <c r="AJ48" i="1"/>
  <c r="AF48" i="1"/>
  <c r="AE48" i="1"/>
  <c r="AD48" i="1"/>
  <c r="AC48" i="1"/>
  <c r="AB48" i="1"/>
  <c r="AA48" i="1"/>
  <c r="Z48" i="1"/>
  <c r="Y48" i="1"/>
  <c r="X48" i="1"/>
  <c r="W48" i="1"/>
  <c r="Q48" i="1"/>
  <c r="P48" i="1"/>
  <c r="O48" i="1"/>
  <c r="N48" i="1"/>
  <c r="K48" i="1"/>
  <c r="L48" i="1"/>
  <c r="M48" i="1"/>
  <c r="J48" i="1"/>
  <c r="I48" i="1"/>
  <c r="H48" i="1"/>
  <c r="G48" i="1"/>
  <c r="F48" i="1"/>
  <c r="E48" i="1"/>
  <c r="N52" i="5"/>
  <c r="M52" i="5"/>
  <c r="L52" i="5"/>
  <c r="K52" i="5"/>
  <c r="J52" i="5"/>
  <c r="I52" i="5"/>
  <c r="H52" i="5"/>
  <c r="G52" i="5"/>
  <c r="E52" i="5"/>
  <c r="D52" i="5"/>
  <c r="C52" i="5"/>
  <c r="N51" i="5"/>
  <c r="M51" i="5"/>
  <c r="L51" i="5"/>
  <c r="K51" i="5"/>
  <c r="J51" i="5"/>
  <c r="I51" i="5"/>
  <c r="H51" i="5"/>
  <c r="G51" i="5"/>
  <c r="F51" i="5"/>
  <c r="E51" i="5"/>
  <c r="D51" i="5"/>
  <c r="C51" i="5"/>
  <c r="N50" i="5"/>
  <c r="M50" i="5"/>
  <c r="L50" i="5"/>
  <c r="K50" i="5"/>
  <c r="J50" i="5"/>
  <c r="I50" i="5"/>
  <c r="H50" i="5"/>
  <c r="G50" i="5"/>
  <c r="F50" i="5"/>
  <c r="E50" i="5"/>
  <c r="D50" i="5"/>
  <c r="C50" i="5"/>
  <c r="N49" i="5"/>
  <c r="M49" i="5"/>
  <c r="L49" i="5"/>
  <c r="K49" i="5"/>
  <c r="J49" i="5"/>
  <c r="I49" i="5"/>
  <c r="H49" i="5"/>
  <c r="G49" i="5"/>
  <c r="F49" i="5"/>
  <c r="E49" i="5"/>
  <c r="D49" i="5"/>
  <c r="AO49" i="3"/>
  <c r="AO48" i="3"/>
  <c r="AO47" i="3"/>
  <c r="AO46" i="3"/>
  <c r="AO45" i="3"/>
  <c r="AO44" i="3"/>
  <c r="AO43" i="3"/>
  <c r="AO42" i="3"/>
  <c r="AO41" i="3"/>
  <c r="AO40" i="3"/>
  <c r="AO39" i="3"/>
  <c r="AO38" i="3"/>
  <c r="AO37" i="3"/>
  <c r="AO36" i="3"/>
  <c r="AO35" i="3"/>
  <c r="AO34" i="3"/>
  <c r="AO33" i="3"/>
  <c r="AO32" i="3"/>
  <c r="AO31" i="3"/>
  <c r="AO30" i="3"/>
  <c r="AO29" i="3"/>
  <c r="AO28" i="3"/>
  <c r="AO27" i="3"/>
  <c r="AO26" i="3"/>
  <c r="AO25" i="3"/>
  <c r="AO24" i="3"/>
  <c r="AO23" i="3"/>
  <c r="AO22" i="3"/>
  <c r="AO21" i="3"/>
  <c r="AO20" i="3"/>
  <c r="AO19" i="3"/>
  <c r="AO18" i="3"/>
  <c r="AO17" i="3"/>
  <c r="AO16" i="3"/>
  <c r="AO15" i="3"/>
  <c r="AO14" i="3"/>
  <c r="AO13" i="3"/>
  <c r="AO12" i="3"/>
  <c r="AO11" i="3"/>
  <c r="AO10" i="3"/>
  <c r="AO9" i="3"/>
  <c r="AO8" i="3"/>
  <c r="AO7" i="3"/>
  <c r="AO6" i="3"/>
  <c r="AP47" i="2"/>
  <c r="AP46" i="2"/>
  <c r="AP45" i="2"/>
  <c r="AP44" i="2"/>
  <c r="AP43" i="2"/>
  <c r="AP42" i="2"/>
  <c r="AP41" i="2"/>
  <c r="AP40" i="2"/>
  <c r="AP39" i="2"/>
  <c r="AP38" i="2"/>
  <c r="AP37" i="2"/>
  <c r="AP36" i="2"/>
  <c r="AP35" i="2"/>
  <c r="AP34" i="2"/>
  <c r="AP33" i="2"/>
  <c r="AP32" i="2"/>
  <c r="AP31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7" i="2"/>
  <c r="AP18" i="2"/>
  <c r="AP16" i="2"/>
  <c r="AP15" i="2"/>
  <c r="AP14" i="2"/>
  <c r="AP13" i="2"/>
  <c r="AP12" i="2"/>
  <c r="AP11" i="2"/>
  <c r="AP10" i="2"/>
  <c r="AP9" i="2"/>
  <c r="AP8" i="2"/>
  <c r="AP7" i="2"/>
  <c r="AP6" i="2"/>
  <c r="AP5" i="2"/>
  <c r="AP48" i="2" s="1"/>
  <c r="AP4" i="2"/>
  <c r="AP49" i="2" s="1"/>
  <c r="AP4" i="1"/>
  <c r="AP47" i="1"/>
  <c r="AP46" i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AH5" i="1"/>
  <c r="AG5" i="1"/>
  <c r="AI5" i="1" s="1"/>
  <c r="AG4" i="1"/>
  <c r="AH4" i="1"/>
  <c r="R105" i="3"/>
  <c r="R104" i="3"/>
  <c r="R103" i="3"/>
  <c r="R102" i="3"/>
  <c r="R101" i="3"/>
  <c r="R100" i="3"/>
  <c r="R99" i="3"/>
  <c r="R98" i="3"/>
  <c r="R97" i="3"/>
  <c r="R96" i="3"/>
  <c r="R95" i="3"/>
  <c r="R94" i="3"/>
  <c r="R93" i="3"/>
  <c r="R92" i="3"/>
  <c r="R91" i="3"/>
  <c r="R90" i="3"/>
  <c r="R89" i="3"/>
  <c r="R88" i="3"/>
  <c r="R87" i="3"/>
  <c r="R86" i="3"/>
  <c r="R85" i="3"/>
  <c r="R84" i="3"/>
  <c r="R83" i="3"/>
  <c r="R82" i="3"/>
  <c r="R81" i="3"/>
  <c r="R80" i="3"/>
  <c r="R79" i="3"/>
  <c r="R78" i="3"/>
  <c r="R77" i="3"/>
  <c r="R75" i="3"/>
  <c r="R76" i="3"/>
  <c r="R74" i="3"/>
  <c r="R73" i="3"/>
  <c r="R72" i="3"/>
  <c r="R71" i="3"/>
  <c r="R70" i="3"/>
  <c r="R69" i="3"/>
  <c r="R68" i="3"/>
  <c r="R67" i="3"/>
  <c r="R66" i="3"/>
  <c r="R65" i="3"/>
  <c r="R64" i="3"/>
  <c r="R63" i="3"/>
  <c r="R62" i="3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46" i="3"/>
  <c r="R45" i="3"/>
  <c r="R44" i="3"/>
  <c r="R42" i="3"/>
  <c r="R43" i="3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47" i="3"/>
  <c r="R48" i="3"/>
  <c r="R28" i="3"/>
  <c r="R27" i="3"/>
  <c r="R25" i="3"/>
  <c r="R26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  <c r="R47" i="2"/>
  <c r="R46" i="2"/>
  <c r="R45" i="2"/>
  <c r="R44" i="2"/>
  <c r="R43" i="2"/>
  <c r="R42" i="2"/>
  <c r="R41" i="2"/>
  <c r="R40" i="2"/>
  <c r="R39" i="2"/>
  <c r="R38" i="2"/>
  <c r="R37" i="2"/>
  <c r="R35" i="2"/>
  <c r="R36" i="2"/>
  <c r="R34" i="2"/>
  <c r="R33" i="2"/>
  <c r="R32" i="2"/>
  <c r="R30" i="2"/>
  <c r="R31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R46" i="1"/>
  <c r="R45" i="1"/>
  <c r="R44" i="1"/>
  <c r="R43" i="1"/>
  <c r="R42" i="1"/>
  <c r="R41" i="1"/>
  <c r="R40" i="1"/>
  <c r="R39" i="1"/>
  <c r="R38" i="1"/>
  <c r="R36" i="1"/>
  <c r="R37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7" i="1"/>
  <c r="R8" i="1"/>
  <c r="R9" i="1"/>
  <c r="R6" i="1"/>
  <c r="R5" i="1"/>
  <c r="U36" i="1"/>
  <c r="U21" i="1"/>
  <c r="U36" i="2"/>
  <c r="U21" i="2"/>
  <c r="T38" i="3"/>
  <c r="T23" i="3"/>
  <c r="A94" i="3"/>
  <c r="A79" i="3"/>
  <c r="A37" i="3"/>
  <c r="A22" i="3"/>
  <c r="C49" i="5"/>
  <c r="C48" i="1"/>
  <c r="R47" i="1"/>
  <c r="AH48" i="1" l="1"/>
  <c r="AP49" i="1"/>
  <c r="AG49" i="1"/>
  <c r="AP48" i="1"/>
  <c r="AH49" i="1"/>
  <c r="AO50" i="3"/>
  <c r="AO51" i="3"/>
  <c r="R4" i="1"/>
  <c r="AI4" i="1"/>
  <c r="AG48" i="1"/>
  <c r="AI48" i="1" l="1"/>
  <c r="AI49" i="1"/>
</calcChain>
</file>

<file path=xl/sharedStrings.xml><?xml version="1.0" encoding="utf-8"?>
<sst xmlns="http://schemas.openxmlformats.org/spreadsheetml/2006/main" count="1204" uniqueCount="212">
  <si>
    <t>Email:</t>
  </si>
  <si>
    <t>habibaahmadzahid00@gmail.com</t>
  </si>
  <si>
    <t>emelhaemel0000@gmail.com</t>
  </si>
  <si>
    <t>26missahmad@gmail.com</t>
  </si>
  <si>
    <t>ayeshakhan14052005@gmail.com</t>
  </si>
  <si>
    <t>eisha.asghar2003@gmail.com</t>
  </si>
  <si>
    <t>aleeshaeman417@gmail.com</t>
  </si>
  <si>
    <t>rubabjadoon22@gmail.com</t>
  </si>
  <si>
    <t>farhanarahoojo3@gmail.com</t>
  </si>
  <si>
    <t>ridabatool394@gmail.com</t>
  </si>
  <si>
    <t>lonisafya767@gmail.com</t>
  </si>
  <si>
    <t>laibarafique65@gmail.com</t>
  </si>
  <si>
    <t>laibkhan819@gmail.com</t>
  </si>
  <si>
    <t>sshamdanahamayoun@gmail.com</t>
  </si>
  <si>
    <t>kinzaaimen46@gmail.com</t>
  </si>
  <si>
    <t>asmaraaiman16@gmail.com</t>
  </si>
  <si>
    <t>mariabaloch558@gmail.com</t>
  </si>
  <si>
    <t>pareesa.chandi0123@gmail.com</t>
  </si>
  <si>
    <t>isramurtaza7@gmail.com</t>
  </si>
  <si>
    <t>khannazishadnan@gmail.com</t>
  </si>
  <si>
    <t>maryamfarooqkhan2004@gmail.com</t>
  </si>
  <si>
    <t>daudzai198@gmail.com</t>
  </si>
  <si>
    <t>m.maqsood313@gmail.com</t>
  </si>
  <si>
    <t>abdullahhassaan270@gmail.com</t>
  </si>
  <si>
    <t>kh.tayyab786@gmail.com</t>
  </si>
  <si>
    <t>mustafaijazdaudzai@gmail.com</t>
  </si>
  <si>
    <t>shahbaz.nzaj@gmail.com</t>
  </si>
  <si>
    <t>hassanparachabro@gmail.com</t>
  </si>
  <si>
    <t>shizaromesa123@gmail.com</t>
  </si>
  <si>
    <t>iman626sudozai@gmail.com</t>
  </si>
  <si>
    <t>duavaneeza8418@gmail.com</t>
  </si>
  <si>
    <t>kashafshahzadi173@gmail.com</t>
  </si>
  <si>
    <t>nhira5730@gmail.com</t>
  </si>
  <si>
    <t>aqsanaveed.info@gmail.com</t>
  </si>
  <si>
    <t>d63591251@gmail.com</t>
  </si>
  <si>
    <t>khansherzad1@gmail.com</t>
  </si>
  <si>
    <t>zara.omar6@gmail.com</t>
  </si>
  <si>
    <t>rimshaatanveer@gmail.com</t>
  </si>
  <si>
    <t>blazeking368@gmail.com</t>
  </si>
  <si>
    <t>bintekhan927@gmail.com</t>
  </si>
  <si>
    <t>tabassumiqra252@gmail.com</t>
  </si>
  <si>
    <t>irummushtaq32@gmail.com</t>
  </si>
  <si>
    <t>darwishadil2002@gmail.com</t>
  </si>
  <si>
    <t>mbdevelopment161@gmail.com</t>
  </si>
  <si>
    <t>Sr.No</t>
  </si>
  <si>
    <t>Login</t>
  </si>
  <si>
    <t>Join Meeting</t>
  </si>
  <si>
    <t>View Camera</t>
  </si>
  <si>
    <t>Microphone settings</t>
  </si>
  <si>
    <t>Use shortcut keys</t>
  </si>
  <si>
    <t>View class activity &amp;material</t>
  </si>
  <si>
    <t>Chat Usage</t>
  </si>
  <si>
    <t>Minimize</t>
  </si>
  <si>
    <t>Maximum shared screen</t>
  </si>
  <si>
    <t>Start Recording</t>
  </si>
  <si>
    <t>Enable Captions</t>
  </si>
  <si>
    <t>Leave Class</t>
  </si>
  <si>
    <t>Confirmation Before Leaving Class</t>
  </si>
  <si>
    <t>Undo Leave Class</t>
  </si>
  <si>
    <t>Report Issue Form</t>
  </si>
  <si>
    <t>Zoom</t>
  </si>
  <si>
    <t>Persons successfully completed the tasks</t>
  </si>
  <si>
    <t>40/44</t>
  </si>
  <si>
    <t>37/44</t>
  </si>
  <si>
    <t>42/44</t>
  </si>
  <si>
    <t>39/44</t>
  </si>
  <si>
    <t>32/44</t>
  </si>
  <si>
    <t>35/44</t>
  </si>
  <si>
    <t>36/44</t>
  </si>
  <si>
    <t>41/44</t>
  </si>
  <si>
    <t>44/44</t>
  </si>
  <si>
    <t>stemcoordinatora@olevels.edu.pk</t>
  </si>
  <si>
    <t>Google Meet</t>
  </si>
  <si>
    <t>Persons Successfully completed the Tasks</t>
  </si>
  <si>
    <t>Prototype</t>
  </si>
  <si>
    <t>38/44</t>
  </si>
  <si>
    <t>43/44</t>
  </si>
  <si>
    <t>Task Success Rate</t>
  </si>
  <si>
    <t>Time in Second(task is performed 3 to 4 times and average time is calculated)</t>
  </si>
  <si>
    <t>SUS_Q1</t>
  </si>
  <si>
    <t>SUS_Q2</t>
  </si>
  <si>
    <t>SUS_Q3</t>
  </si>
  <si>
    <t>SUS_Q4</t>
  </si>
  <si>
    <t>SUS_Q5</t>
  </si>
  <si>
    <t>SUS_Q6</t>
  </si>
  <si>
    <t>SUS_Q7</t>
  </si>
  <si>
    <t>SUS_Q8</t>
  </si>
  <si>
    <t>SUS_Q9</t>
  </si>
  <si>
    <t>SUS_Q10</t>
  </si>
  <si>
    <t>SUS_Q10+AF3:AI3</t>
  </si>
  <si>
    <t>Mental</t>
  </si>
  <si>
    <t>Physical</t>
  </si>
  <si>
    <t>Temporal</t>
  </si>
  <si>
    <t>Performance</t>
  </si>
  <si>
    <t>Effort</t>
  </si>
  <si>
    <t>Frustration</t>
  </si>
  <si>
    <t>Data from Questionnaire</t>
  </si>
  <si>
    <t>SUS_Zoom</t>
  </si>
  <si>
    <t>SUS_Meet</t>
  </si>
  <si>
    <t>SUS_Prototype</t>
  </si>
  <si>
    <t>NASA_Zoom</t>
  </si>
  <si>
    <t>NASA_Meet</t>
  </si>
  <si>
    <t>NASA_Prototype</t>
  </si>
  <si>
    <t>Average</t>
  </si>
  <si>
    <t>Time_Meet (in seconds)</t>
  </si>
  <si>
    <t>Time_Zoom(in seconds)</t>
  </si>
  <si>
    <t>Time_Prototype(in seconds)</t>
  </si>
  <si>
    <t>TASK success rate_Zoom(in %age)</t>
  </si>
  <si>
    <t>TASK success rate_Meet (in %age)</t>
  </si>
  <si>
    <t>TASK success rate_Prototype (in %age)</t>
  </si>
  <si>
    <t>%age</t>
  </si>
  <si>
    <t>x(0dd)</t>
  </si>
  <si>
    <t>x(even)</t>
  </si>
  <si>
    <t>x odd</t>
  </si>
  <si>
    <t>x even</t>
  </si>
  <si>
    <t>Nasa Score</t>
  </si>
  <si>
    <t>Total SUS score</t>
  </si>
  <si>
    <t>Nasa score</t>
  </si>
  <si>
    <t>Total sus score</t>
  </si>
  <si>
    <t>Mean</t>
  </si>
  <si>
    <t>Skewness</t>
  </si>
  <si>
    <t>Standard Deviation</t>
  </si>
  <si>
    <t>standard devation</t>
  </si>
  <si>
    <t>average</t>
  </si>
  <si>
    <t>standard deviation</t>
  </si>
  <si>
    <t>Standard  Deviation</t>
  </si>
  <si>
    <t>Std</t>
  </si>
  <si>
    <t>mean</t>
  </si>
  <si>
    <t>std</t>
  </si>
  <si>
    <t>MEAN</t>
  </si>
  <si>
    <t>STD</t>
  </si>
  <si>
    <t>MATRICES</t>
  </si>
  <si>
    <t>ZOOM  (Time in Second)</t>
  </si>
  <si>
    <t>ZOOM  (Task Success Rate)</t>
  </si>
  <si>
    <t>ZOOM  (Data From questionairs)</t>
  </si>
  <si>
    <t>GOOGLE MEET  (Time in Second)</t>
  </si>
  <si>
    <t>GOOGLE MEET  (Task Success Rate)</t>
  </si>
  <si>
    <t>GOOGLE MEET (Data From questionairs)</t>
  </si>
  <si>
    <t>PROTOTYPE  (Time in Second)</t>
  </si>
  <si>
    <t>PROTOTYPE  (Task Success Rate)</t>
  </si>
  <si>
    <t>PROTOTYPE  (Data From questionairs)</t>
  </si>
  <si>
    <t>AVERAGE</t>
  </si>
  <si>
    <t>Participant</t>
  </si>
  <si>
    <t>Tool</t>
  </si>
  <si>
    <t>Time</t>
  </si>
  <si>
    <t>Success</t>
  </si>
  <si>
    <t>SUS</t>
  </si>
  <si>
    <t>NASA</t>
  </si>
  <si>
    <t>Meet</t>
  </si>
  <si>
    <t>Metric</t>
  </si>
  <si>
    <t>F(2, 86)</t>
  </si>
  <si>
    <t>p-value</t>
  </si>
  <si>
    <t>η² (Effect Size)</t>
  </si>
  <si>
    <t>Significance</t>
  </si>
  <si>
    <t>Effectiveness</t>
  </si>
  <si>
    <t>Significant</t>
  </si>
  <si>
    <t>Efficiency</t>
  </si>
  <si>
    <t>Not Significant</t>
  </si>
  <si>
    <t>Satisfaction</t>
  </si>
  <si>
    <t>Cognitive Load</t>
  </si>
  <si>
    <t>Main ANOVA Table</t>
  </si>
  <si>
    <t>A. Effectiveness</t>
  </si>
  <si>
    <t>Comparison</t>
  </si>
  <si>
    <t>t-value</t>
  </si>
  <si>
    <t>p (uncorrected)</t>
  </si>
  <si>
    <t>p (Bonferroni)</t>
  </si>
  <si>
    <t>Zoom vs Meet</t>
  </si>
  <si>
    <t>Zoom vs Prototype</t>
  </si>
  <si>
    <t>Marginal</t>
  </si>
  <si>
    <t>B. Satisfaction (SUS)</t>
  </si>
  <si>
    <t>Meet vs Prototype</t>
  </si>
  <si>
    <t xml:space="preserve">  No difference</t>
  </si>
  <si>
    <t>Post-hoc Pairwise Comparisons (Bonferroni Adjusted)</t>
  </si>
  <si>
    <t>Descriptive Statistics Table</t>
  </si>
  <si>
    <t>Best Tool</t>
  </si>
  <si>
    <t xml:space="preserve"> Prototype</t>
  </si>
  <si>
    <t>Final Ranking Summary</t>
  </si>
  <si>
    <t>Why</t>
  </si>
  <si>
    <t>Highest mean + significant difference</t>
  </si>
  <si>
    <t>Fastest (not significant)</t>
  </si>
  <si>
    <t>Highest + significant</t>
  </si>
  <si>
    <t>Lowest (not significant)</t>
  </si>
  <si>
    <t xml:space="preserve"> Meet</t>
  </si>
  <si>
    <r>
      <t>Efficiency (Time)</t>
    </r>
    <r>
      <rPr>
        <sz val="11"/>
        <color theme="1"/>
        <rFont val="Calibri"/>
        <family val="2"/>
        <scheme val="minor"/>
      </rPr>
      <t xml:space="preserve"> ↓</t>
    </r>
  </si>
  <si>
    <t>Satisfaction (SUS)</t>
  </si>
  <si>
    <r>
      <t>Cognitive Load</t>
    </r>
    <r>
      <rPr>
        <sz val="11"/>
        <color theme="1"/>
        <rFont val="Calibri"/>
        <family val="2"/>
        <scheme val="minor"/>
      </rPr>
      <t xml:space="preserve"> ↓</t>
    </r>
  </si>
  <si>
    <t>Mean Scores by Tool</t>
  </si>
  <si>
    <t>Variable</t>
  </si>
  <si>
    <t>Shapiro-Wilk p-value</t>
  </si>
  <si>
    <t>Normality Assumed</t>
  </si>
  <si>
    <t>Time (Zoom)</t>
  </si>
  <si>
    <t>Yes</t>
  </si>
  <si>
    <t>Time (Meet)</t>
  </si>
  <si>
    <t>Time (Prototype)</t>
  </si>
  <si>
    <t>Task Success Rate (Zoom)</t>
  </si>
  <si>
    <t>Task Success Rate (Meet)</t>
  </si>
  <si>
    <t>Task Success Rate (Prototype)</t>
  </si>
  <si>
    <t>SUS (Zoom)</t>
  </si>
  <si>
    <t>SUS (Meet)</t>
  </si>
  <si>
    <t>SUS (Prototype)</t>
  </si>
  <si>
    <t>NASA (Zoom)</t>
  </si>
  <si>
    <t>NASA (Meet)</t>
  </si>
  <si>
    <t>NASA (Prototype)</t>
  </si>
  <si>
    <t>Normality Test Results Table(Shapiro-Wilk test results table)</t>
  </si>
  <si>
    <t>Time_Zoom</t>
  </si>
  <si>
    <t>Time_Meet</t>
  </si>
  <si>
    <t>Time_Prototype</t>
  </si>
  <si>
    <t>TASK_success_rate_Zoom</t>
  </si>
  <si>
    <t>TASK_success_rate_Meet</t>
  </si>
  <si>
    <t>TASK_success_rate_Prototype</t>
  </si>
  <si>
    <t>Kurtosis(+-1.92)</t>
  </si>
  <si>
    <t>z score(+-3)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</si>
</sst>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1" applyNumberFormat="1" applyBorder="1"/>
    <xf numFmtId="0" fontId="0" fillId="0" borderId="3" xfId="0" applyBorder="1"/>
    <xf numFmtId="0" fontId="0" fillId="0" borderId="2" xfId="0" applyBorder="1"/>
    <xf numFmtId="0" fontId="0" fillId="0" borderId="7" xfId="0" applyBorder="1"/>
    <xf numFmtId="0" fontId="1" fillId="0" borderId="3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10" xfId="0" applyBorder="1"/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vertical="center" wrapText="1"/>
    </xf>
    <xf numFmtId="0" fontId="1" fillId="0" borderId="0" xfId="0" applyFont="1"/>
    <xf numFmtId="0" fontId="1" fillId="0" borderId="7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4" fillId="0" borderId="1" xfId="0" applyFont="1" applyBorder="1"/>
    <xf numFmtId="0" fontId="0" fillId="0" borderId="14" xfId="0" applyBorder="1"/>
    <xf numFmtId="0" fontId="1" fillId="0" borderId="15" xfId="0" applyFont="1" applyBorder="1"/>
    <xf numFmtId="0" fontId="2" fillId="0" borderId="15" xfId="1" applyNumberFormat="1" applyBorder="1"/>
    <xf numFmtId="0" fontId="0" fillId="0" borderId="15" xfId="0" applyBorder="1"/>
    <xf numFmtId="0" fontId="1" fillId="0" borderId="1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2" xfId="0" applyFont="1" applyBorder="1"/>
    <xf numFmtId="0" fontId="0" fillId="0" borderId="2" xfId="0" applyBorder="1"/>
    <xf numFmtId="0" fontId="0" fillId="0" borderId="11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8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left" vertical="center" wrapText="1"/>
    </xf>
    <xf numFmtId="0" fontId="6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iman626sudozai@gmail.com" TargetMode="External"/><Relationship Id="rId21" Type="http://schemas.openxmlformats.org/officeDocument/2006/relationships/hyperlink" Target="mailto:daudzai198@gmail.com" TargetMode="External"/><Relationship Id="rId42" Type="http://schemas.openxmlformats.org/officeDocument/2006/relationships/hyperlink" Target="mailto:darwishadil2002@gmail.com" TargetMode="External"/><Relationship Id="rId63" Type="http://schemas.openxmlformats.org/officeDocument/2006/relationships/hyperlink" Target="mailto:khannazishadnan@gmail.com" TargetMode="External"/><Relationship Id="rId84" Type="http://schemas.openxmlformats.org/officeDocument/2006/relationships/hyperlink" Target="mailto:tabassumiqra252@gmail.com" TargetMode="External"/><Relationship Id="rId16" Type="http://schemas.openxmlformats.org/officeDocument/2006/relationships/hyperlink" Target="mailto:mariabaloch558@gmail.com" TargetMode="External"/><Relationship Id="rId107" Type="http://schemas.openxmlformats.org/officeDocument/2006/relationships/hyperlink" Target="mailto:khannazishadnan@gmail.com" TargetMode="External"/><Relationship Id="rId11" Type="http://schemas.openxmlformats.org/officeDocument/2006/relationships/hyperlink" Target="mailto:laibarafique65@gmail.com" TargetMode="External"/><Relationship Id="rId32" Type="http://schemas.openxmlformats.org/officeDocument/2006/relationships/hyperlink" Target="mailto:nhira5730@gmail.com" TargetMode="External"/><Relationship Id="rId37" Type="http://schemas.openxmlformats.org/officeDocument/2006/relationships/hyperlink" Target="mailto:rimshaatanveer@gmail.com" TargetMode="External"/><Relationship Id="rId53" Type="http://schemas.openxmlformats.org/officeDocument/2006/relationships/hyperlink" Target="mailto:ridabatool394@gmail.com" TargetMode="External"/><Relationship Id="rId58" Type="http://schemas.openxmlformats.org/officeDocument/2006/relationships/hyperlink" Target="mailto:kinzaaimen46@gmail.com" TargetMode="External"/><Relationship Id="rId74" Type="http://schemas.openxmlformats.org/officeDocument/2006/relationships/hyperlink" Target="mailto:duavaneeza8418@gmail.com" TargetMode="External"/><Relationship Id="rId79" Type="http://schemas.openxmlformats.org/officeDocument/2006/relationships/hyperlink" Target="mailto:khansherzad1@gmail.com" TargetMode="External"/><Relationship Id="rId102" Type="http://schemas.openxmlformats.org/officeDocument/2006/relationships/hyperlink" Target="mailto:kinzaaimen46@gmail.com" TargetMode="External"/><Relationship Id="rId123" Type="http://schemas.openxmlformats.org/officeDocument/2006/relationships/hyperlink" Target="mailto:khansherzad1@gmail.com" TargetMode="External"/><Relationship Id="rId128" Type="http://schemas.openxmlformats.org/officeDocument/2006/relationships/hyperlink" Target="mailto:tabassumiqra252@gmail.com" TargetMode="External"/><Relationship Id="rId5" Type="http://schemas.openxmlformats.org/officeDocument/2006/relationships/hyperlink" Target="mailto:eisha.asghar2003@gmail.com" TargetMode="External"/><Relationship Id="rId90" Type="http://schemas.openxmlformats.org/officeDocument/2006/relationships/hyperlink" Target="mailto:emelhaemel0000@gmail.com" TargetMode="External"/><Relationship Id="rId95" Type="http://schemas.openxmlformats.org/officeDocument/2006/relationships/hyperlink" Target="mailto:rubabjadoon22@gmail.com" TargetMode="External"/><Relationship Id="rId22" Type="http://schemas.openxmlformats.org/officeDocument/2006/relationships/hyperlink" Target="mailto:m.maqsood313@gmail.com" TargetMode="External"/><Relationship Id="rId27" Type="http://schemas.openxmlformats.org/officeDocument/2006/relationships/hyperlink" Target="mailto:hassanparachabro@gmail.com" TargetMode="External"/><Relationship Id="rId43" Type="http://schemas.openxmlformats.org/officeDocument/2006/relationships/hyperlink" Target="mailto:mbdevelopment161@gmail.com" TargetMode="External"/><Relationship Id="rId48" Type="http://schemas.openxmlformats.org/officeDocument/2006/relationships/hyperlink" Target="mailto:ayeshakhan14052005@gmail.com" TargetMode="External"/><Relationship Id="rId64" Type="http://schemas.openxmlformats.org/officeDocument/2006/relationships/hyperlink" Target="mailto:maryamfarooqkhan2004@gmail.com" TargetMode="External"/><Relationship Id="rId69" Type="http://schemas.openxmlformats.org/officeDocument/2006/relationships/hyperlink" Target="mailto:mustafaijazdaudzai@gmail.com" TargetMode="External"/><Relationship Id="rId113" Type="http://schemas.openxmlformats.org/officeDocument/2006/relationships/hyperlink" Target="mailto:mustafaijazdaudzai@gmail.com" TargetMode="External"/><Relationship Id="rId118" Type="http://schemas.openxmlformats.org/officeDocument/2006/relationships/hyperlink" Target="mailto:duavaneeza8418@gmail.com" TargetMode="External"/><Relationship Id="rId80" Type="http://schemas.openxmlformats.org/officeDocument/2006/relationships/hyperlink" Target="mailto:zara.omar6@gmail.com" TargetMode="External"/><Relationship Id="rId85" Type="http://schemas.openxmlformats.org/officeDocument/2006/relationships/hyperlink" Target="mailto:irummushtaq32@gmail.com" TargetMode="External"/><Relationship Id="rId12" Type="http://schemas.openxmlformats.org/officeDocument/2006/relationships/hyperlink" Target="mailto:laibkhan819@gmail.com" TargetMode="External"/><Relationship Id="rId17" Type="http://schemas.openxmlformats.org/officeDocument/2006/relationships/hyperlink" Target="mailto:pareesa.chandi0123@gmail.com" TargetMode="External"/><Relationship Id="rId33" Type="http://schemas.openxmlformats.org/officeDocument/2006/relationships/hyperlink" Target="mailto:aqsanaveed.info@gmail.com" TargetMode="External"/><Relationship Id="rId38" Type="http://schemas.openxmlformats.org/officeDocument/2006/relationships/hyperlink" Target="mailto:blazeking368@gmail.com" TargetMode="External"/><Relationship Id="rId59" Type="http://schemas.openxmlformats.org/officeDocument/2006/relationships/hyperlink" Target="mailto:asmaraaiman16@gmail.com" TargetMode="External"/><Relationship Id="rId103" Type="http://schemas.openxmlformats.org/officeDocument/2006/relationships/hyperlink" Target="mailto:asmaraaiman16@gmail.com" TargetMode="External"/><Relationship Id="rId108" Type="http://schemas.openxmlformats.org/officeDocument/2006/relationships/hyperlink" Target="mailto:maryamfarooqkhan2004@gmail.com" TargetMode="External"/><Relationship Id="rId124" Type="http://schemas.openxmlformats.org/officeDocument/2006/relationships/hyperlink" Target="mailto:zara.omar6@gmail.com" TargetMode="External"/><Relationship Id="rId129" Type="http://schemas.openxmlformats.org/officeDocument/2006/relationships/hyperlink" Target="mailto:irummushtaq32@gmail.com" TargetMode="External"/><Relationship Id="rId54" Type="http://schemas.openxmlformats.org/officeDocument/2006/relationships/hyperlink" Target="mailto:lonisafya767@gmail.com" TargetMode="External"/><Relationship Id="rId70" Type="http://schemas.openxmlformats.org/officeDocument/2006/relationships/hyperlink" Target="mailto:shahbaz.nzaj@gmail.com" TargetMode="External"/><Relationship Id="rId75" Type="http://schemas.openxmlformats.org/officeDocument/2006/relationships/hyperlink" Target="mailto:kashafshahzadi173@gmail.com" TargetMode="External"/><Relationship Id="rId91" Type="http://schemas.openxmlformats.org/officeDocument/2006/relationships/hyperlink" Target="mailto:26missahmad@gmail.com" TargetMode="External"/><Relationship Id="rId96" Type="http://schemas.openxmlformats.org/officeDocument/2006/relationships/hyperlink" Target="mailto:farhanarahoojo3@gmail.com" TargetMode="External"/><Relationship Id="rId1" Type="http://schemas.openxmlformats.org/officeDocument/2006/relationships/hyperlink" Target="mailto:habibaahmadzahid00@gmail.com" TargetMode="External"/><Relationship Id="rId6" Type="http://schemas.openxmlformats.org/officeDocument/2006/relationships/hyperlink" Target="mailto:aleeshaeman417@gmail.com" TargetMode="External"/><Relationship Id="rId23" Type="http://schemas.openxmlformats.org/officeDocument/2006/relationships/hyperlink" Target="mailto:abdullahhassaan270@gmail.com" TargetMode="External"/><Relationship Id="rId28" Type="http://schemas.openxmlformats.org/officeDocument/2006/relationships/hyperlink" Target="mailto:shizaromesa123@gmail.com" TargetMode="External"/><Relationship Id="rId49" Type="http://schemas.openxmlformats.org/officeDocument/2006/relationships/hyperlink" Target="mailto:eisha.asghar2003@gmail.com" TargetMode="External"/><Relationship Id="rId114" Type="http://schemas.openxmlformats.org/officeDocument/2006/relationships/hyperlink" Target="mailto:shahbaz.nzaj@gmail.com" TargetMode="External"/><Relationship Id="rId119" Type="http://schemas.openxmlformats.org/officeDocument/2006/relationships/hyperlink" Target="mailto:kashafshahzadi173@gmail.com" TargetMode="External"/><Relationship Id="rId44" Type="http://schemas.openxmlformats.org/officeDocument/2006/relationships/hyperlink" Target="mailto:stemcoordinatora@olevels.edu.pk" TargetMode="External"/><Relationship Id="rId60" Type="http://schemas.openxmlformats.org/officeDocument/2006/relationships/hyperlink" Target="mailto:mariabaloch558@gmail.com" TargetMode="External"/><Relationship Id="rId65" Type="http://schemas.openxmlformats.org/officeDocument/2006/relationships/hyperlink" Target="mailto:daudzai198@gmail.com" TargetMode="External"/><Relationship Id="rId81" Type="http://schemas.openxmlformats.org/officeDocument/2006/relationships/hyperlink" Target="mailto:rimshaatanveer@gmail.com" TargetMode="External"/><Relationship Id="rId86" Type="http://schemas.openxmlformats.org/officeDocument/2006/relationships/hyperlink" Target="mailto:darwishadil2002@gmail.com" TargetMode="External"/><Relationship Id="rId130" Type="http://schemas.openxmlformats.org/officeDocument/2006/relationships/hyperlink" Target="mailto:darwishadil2002@gmail.com" TargetMode="External"/><Relationship Id="rId13" Type="http://schemas.openxmlformats.org/officeDocument/2006/relationships/hyperlink" Target="mailto:sshamdanahamayoun@gmail.com" TargetMode="External"/><Relationship Id="rId18" Type="http://schemas.openxmlformats.org/officeDocument/2006/relationships/hyperlink" Target="mailto:isramurtaza7@gmail.com" TargetMode="External"/><Relationship Id="rId39" Type="http://schemas.openxmlformats.org/officeDocument/2006/relationships/hyperlink" Target="mailto:bintekhan927@gmail.com" TargetMode="External"/><Relationship Id="rId109" Type="http://schemas.openxmlformats.org/officeDocument/2006/relationships/hyperlink" Target="mailto:daudzai198@gmail.com" TargetMode="External"/><Relationship Id="rId34" Type="http://schemas.openxmlformats.org/officeDocument/2006/relationships/hyperlink" Target="mailto:d63591251@gmail.com" TargetMode="External"/><Relationship Id="rId50" Type="http://schemas.openxmlformats.org/officeDocument/2006/relationships/hyperlink" Target="mailto:aleeshaeman417@gmail.com" TargetMode="External"/><Relationship Id="rId55" Type="http://schemas.openxmlformats.org/officeDocument/2006/relationships/hyperlink" Target="mailto:laibarafique65@gmail.com" TargetMode="External"/><Relationship Id="rId76" Type="http://schemas.openxmlformats.org/officeDocument/2006/relationships/hyperlink" Target="mailto:nhira5730@gmail.com" TargetMode="External"/><Relationship Id="rId97" Type="http://schemas.openxmlformats.org/officeDocument/2006/relationships/hyperlink" Target="mailto:ridabatool394@gmail.com" TargetMode="External"/><Relationship Id="rId104" Type="http://schemas.openxmlformats.org/officeDocument/2006/relationships/hyperlink" Target="mailto:mariabaloch558@gmail.com" TargetMode="External"/><Relationship Id="rId120" Type="http://schemas.openxmlformats.org/officeDocument/2006/relationships/hyperlink" Target="mailto:nhira5730@gmail.com" TargetMode="External"/><Relationship Id="rId125" Type="http://schemas.openxmlformats.org/officeDocument/2006/relationships/hyperlink" Target="mailto:rimshaatanveer@gmail.com" TargetMode="External"/><Relationship Id="rId7" Type="http://schemas.openxmlformats.org/officeDocument/2006/relationships/hyperlink" Target="mailto:rubabjadoon22@gmail.com" TargetMode="External"/><Relationship Id="rId71" Type="http://schemas.openxmlformats.org/officeDocument/2006/relationships/hyperlink" Target="mailto:hassanparachabro@gmail.com" TargetMode="External"/><Relationship Id="rId92" Type="http://schemas.openxmlformats.org/officeDocument/2006/relationships/hyperlink" Target="mailto:ayeshakhan14052005@gmail.com" TargetMode="External"/><Relationship Id="rId2" Type="http://schemas.openxmlformats.org/officeDocument/2006/relationships/hyperlink" Target="mailto:emelhaemel0000@gmail.com" TargetMode="External"/><Relationship Id="rId29" Type="http://schemas.openxmlformats.org/officeDocument/2006/relationships/hyperlink" Target="mailto:iman626sudozai@gmail.com" TargetMode="External"/><Relationship Id="rId24" Type="http://schemas.openxmlformats.org/officeDocument/2006/relationships/hyperlink" Target="mailto:kh.tayyab786@gmail.com" TargetMode="External"/><Relationship Id="rId40" Type="http://schemas.openxmlformats.org/officeDocument/2006/relationships/hyperlink" Target="mailto:tabassumiqra252@gmail.com" TargetMode="External"/><Relationship Id="rId45" Type="http://schemas.openxmlformats.org/officeDocument/2006/relationships/hyperlink" Target="mailto:habibaahmadzahid00@gmail.com" TargetMode="External"/><Relationship Id="rId66" Type="http://schemas.openxmlformats.org/officeDocument/2006/relationships/hyperlink" Target="mailto:m.maqsood313@gmail.com" TargetMode="External"/><Relationship Id="rId87" Type="http://schemas.openxmlformats.org/officeDocument/2006/relationships/hyperlink" Target="mailto:mbdevelopment161@gmail.com" TargetMode="External"/><Relationship Id="rId110" Type="http://schemas.openxmlformats.org/officeDocument/2006/relationships/hyperlink" Target="mailto:m.maqsood313@gmail.com" TargetMode="External"/><Relationship Id="rId115" Type="http://schemas.openxmlformats.org/officeDocument/2006/relationships/hyperlink" Target="mailto:hassanparachabro@gmail.com" TargetMode="External"/><Relationship Id="rId131" Type="http://schemas.openxmlformats.org/officeDocument/2006/relationships/hyperlink" Target="mailto:mbdevelopment161@gmail.com" TargetMode="External"/><Relationship Id="rId61" Type="http://schemas.openxmlformats.org/officeDocument/2006/relationships/hyperlink" Target="mailto:pareesa.chandi0123@gmail.com" TargetMode="External"/><Relationship Id="rId82" Type="http://schemas.openxmlformats.org/officeDocument/2006/relationships/hyperlink" Target="mailto:blazeking368@gmail.com" TargetMode="External"/><Relationship Id="rId19" Type="http://schemas.openxmlformats.org/officeDocument/2006/relationships/hyperlink" Target="mailto:khannazishadnan@gmail.com" TargetMode="External"/><Relationship Id="rId14" Type="http://schemas.openxmlformats.org/officeDocument/2006/relationships/hyperlink" Target="mailto:kinzaaimen46@gmail.com" TargetMode="External"/><Relationship Id="rId30" Type="http://schemas.openxmlformats.org/officeDocument/2006/relationships/hyperlink" Target="mailto:duavaneeza8418@gmail.com" TargetMode="External"/><Relationship Id="rId35" Type="http://schemas.openxmlformats.org/officeDocument/2006/relationships/hyperlink" Target="mailto:khansherzad1@gmail.com" TargetMode="External"/><Relationship Id="rId56" Type="http://schemas.openxmlformats.org/officeDocument/2006/relationships/hyperlink" Target="mailto:laibkhan819@gmail.com" TargetMode="External"/><Relationship Id="rId77" Type="http://schemas.openxmlformats.org/officeDocument/2006/relationships/hyperlink" Target="mailto:aqsanaveed.info@gmail.com" TargetMode="External"/><Relationship Id="rId100" Type="http://schemas.openxmlformats.org/officeDocument/2006/relationships/hyperlink" Target="mailto:laibkhan819@gmail.com" TargetMode="External"/><Relationship Id="rId105" Type="http://schemas.openxmlformats.org/officeDocument/2006/relationships/hyperlink" Target="mailto:pareesa.chandi0123@gmail.com" TargetMode="External"/><Relationship Id="rId126" Type="http://schemas.openxmlformats.org/officeDocument/2006/relationships/hyperlink" Target="mailto:blazeking368@gmail.com" TargetMode="External"/><Relationship Id="rId8" Type="http://schemas.openxmlformats.org/officeDocument/2006/relationships/hyperlink" Target="mailto:farhanarahoojo3@gmail.com" TargetMode="External"/><Relationship Id="rId51" Type="http://schemas.openxmlformats.org/officeDocument/2006/relationships/hyperlink" Target="mailto:rubabjadoon22@gmail.com" TargetMode="External"/><Relationship Id="rId72" Type="http://schemas.openxmlformats.org/officeDocument/2006/relationships/hyperlink" Target="mailto:shizaromesa123@gmail.com" TargetMode="External"/><Relationship Id="rId93" Type="http://schemas.openxmlformats.org/officeDocument/2006/relationships/hyperlink" Target="mailto:eisha.asghar2003@gmail.com" TargetMode="External"/><Relationship Id="rId98" Type="http://schemas.openxmlformats.org/officeDocument/2006/relationships/hyperlink" Target="mailto:lonisafya767@gmail.com" TargetMode="External"/><Relationship Id="rId121" Type="http://schemas.openxmlformats.org/officeDocument/2006/relationships/hyperlink" Target="mailto:aqsanaveed.info@gmail.com" TargetMode="External"/><Relationship Id="rId3" Type="http://schemas.openxmlformats.org/officeDocument/2006/relationships/hyperlink" Target="mailto:26missahmad@gmail.com" TargetMode="External"/><Relationship Id="rId25" Type="http://schemas.openxmlformats.org/officeDocument/2006/relationships/hyperlink" Target="mailto:mustafaijazdaudzai@gmail.com" TargetMode="External"/><Relationship Id="rId46" Type="http://schemas.openxmlformats.org/officeDocument/2006/relationships/hyperlink" Target="mailto:emelhaemel0000@gmail.com" TargetMode="External"/><Relationship Id="rId67" Type="http://schemas.openxmlformats.org/officeDocument/2006/relationships/hyperlink" Target="mailto:abdullahhassaan270@gmail.com" TargetMode="External"/><Relationship Id="rId116" Type="http://schemas.openxmlformats.org/officeDocument/2006/relationships/hyperlink" Target="mailto:shizaromesa123@gmail.com" TargetMode="External"/><Relationship Id="rId20" Type="http://schemas.openxmlformats.org/officeDocument/2006/relationships/hyperlink" Target="mailto:maryamfarooqkhan2004@gmail.com" TargetMode="External"/><Relationship Id="rId41" Type="http://schemas.openxmlformats.org/officeDocument/2006/relationships/hyperlink" Target="mailto:irummushtaq32@gmail.com" TargetMode="External"/><Relationship Id="rId62" Type="http://schemas.openxmlformats.org/officeDocument/2006/relationships/hyperlink" Target="mailto:isramurtaza7@gmail.com" TargetMode="External"/><Relationship Id="rId83" Type="http://schemas.openxmlformats.org/officeDocument/2006/relationships/hyperlink" Target="mailto:bintekhan927@gmail.com" TargetMode="External"/><Relationship Id="rId88" Type="http://schemas.openxmlformats.org/officeDocument/2006/relationships/hyperlink" Target="mailto:stemcoordinatora@olevels.edu.pk" TargetMode="External"/><Relationship Id="rId111" Type="http://schemas.openxmlformats.org/officeDocument/2006/relationships/hyperlink" Target="mailto:abdullahhassaan270@gmail.com" TargetMode="External"/><Relationship Id="rId132" Type="http://schemas.openxmlformats.org/officeDocument/2006/relationships/hyperlink" Target="mailto:stemcoordinatora@olevels.edu.pk" TargetMode="External"/><Relationship Id="rId15" Type="http://schemas.openxmlformats.org/officeDocument/2006/relationships/hyperlink" Target="mailto:asmaraaiman16@gmail.com" TargetMode="External"/><Relationship Id="rId36" Type="http://schemas.openxmlformats.org/officeDocument/2006/relationships/hyperlink" Target="mailto:zara.omar6@gmail.com" TargetMode="External"/><Relationship Id="rId57" Type="http://schemas.openxmlformats.org/officeDocument/2006/relationships/hyperlink" Target="mailto:sshamdanahamayoun@gmail.com" TargetMode="External"/><Relationship Id="rId106" Type="http://schemas.openxmlformats.org/officeDocument/2006/relationships/hyperlink" Target="mailto:isramurtaza7@gmail.com" TargetMode="External"/><Relationship Id="rId127" Type="http://schemas.openxmlformats.org/officeDocument/2006/relationships/hyperlink" Target="mailto:bintekhan927@gmail.com" TargetMode="External"/><Relationship Id="rId10" Type="http://schemas.openxmlformats.org/officeDocument/2006/relationships/hyperlink" Target="mailto:lonisafya767@gmail.com" TargetMode="External"/><Relationship Id="rId31" Type="http://schemas.openxmlformats.org/officeDocument/2006/relationships/hyperlink" Target="mailto:kashafshahzadi173@gmail.com" TargetMode="External"/><Relationship Id="rId52" Type="http://schemas.openxmlformats.org/officeDocument/2006/relationships/hyperlink" Target="mailto:farhanarahoojo3@gmail.com" TargetMode="External"/><Relationship Id="rId73" Type="http://schemas.openxmlformats.org/officeDocument/2006/relationships/hyperlink" Target="mailto:iman626sudozai@gmail.com" TargetMode="External"/><Relationship Id="rId78" Type="http://schemas.openxmlformats.org/officeDocument/2006/relationships/hyperlink" Target="mailto:d63591251@gmail.com" TargetMode="External"/><Relationship Id="rId94" Type="http://schemas.openxmlformats.org/officeDocument/2006/relationships/hyperlink" Target="mailto:aleeshaeman417@gmail.com" TargetMode="External"/><Relationship Id="rId99" Type="http://schemas.openxmlformats.org/officeDocument/2006/relationships/hyperlink" Target="mailto:laibarafique65@gmail.com" TargetMode="External"/><Relationship Id="rId101" Type="http://schemas.openxmlformats.org/officeDocument/2006/relationships/hyperlink" Target="mailto:sshamdanahamayoun@gmail.com" TargetMode="External"/><Relationship Id="rId122" Type="http://schemas.openxmlformats.org/officeDocument/2006/relationships/hyperlink" Target="mailto:d63591251@gmail.com" TargetMode="External"/><Relationship Id="rId4" Type="http://schemas.openxmlformats.org/officeDocument/2006/relationships/hyperlink" Target="mailto:ayeshakhan14052005@gmail.com" TargetMode="External"/><Relationship Id="rId9" Type="http://schemas.openxmlformats.org/officeDocument/2006/relationships/hyperlink" Target="mailto:ridabatool394@gmail.com" TargetMode="External"/><Relationship Id="rId26" Type="http://schemas.openxmlformats.org/officeDocument/2006/relationships/hyperlink" Target="mailto:shahbaz.nzaj@gmail.com" TargetMode="External"/><Relationship Id="rId47" Type="http://schemas.openxmlformats.org/officeDocument/2006/relationships/hyperlink" Target="mailto:26missahmad@gmail.com" TargetMode="External"/><Relationship Id="rId68" Type="http://schemas.openxmlformats.org/officeDocument/2006/relationships/hyperlink" Target="mailto:kh.tayyab786@gmail.com" TargetMode="External"/><Relationship Id="rId89" Type="http://schemas.openxmlformats.org/officeDocument/2006/relationships/hyperlink" Target="mailto:habibaahmadzahid00@gmail.com" TargetMode="External"/><Relationship Id="rId112" Type="http://schemas.openxmlformats.org/officeDocument/2006/relationships/hyperlink" Target="mailto:kh.tayyab786@gmail.com" TargetMode="External"/><Relationship Id="rId133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iman626sudozai@gmail.com" TargetMode="External"/><Relationship Id="rId21" Type="http://schemas.openxmlformats.org/officeDocument/2006/relationships/hyperlink" Target="mailto:daudzai198@gmail.com" TargetMode="External"/><Relationship Id="rId42" Type="http://schemas.openxmlformats.org/officeDocument/2006/relationships/hyperlink" Target="mailto:darwishadil2002@gmail.com" TargetMode="External"/><Relationship Id="rId47" Type="http://schemas.openxmlformats.org/officeDocument/2006/relationships/hyperlink" Target="mailto:26missahmad@gmail.com" TargetMode="External"/><Relationship Id="rId63" Type="http://schemas.openxmlformats.org/officeDocument/2006/relationships/hyperlink" Target="mailto:khannazishadnan@gmail.com" TargetMode="External"/><Relationship Id="rId68" Type="http://schemas.openxmlformats.org/officeDocument/2006/relationships/hyperlink" Target="mailto:kh.tayyab786@gmail.com" TargetMode="External"/><Relationship Id="rId84" Type="http://schemas.openxmlformats.org/officeDocument/2006/relationships/hyperlink" Target="mailto:tabassumiqra252@gmail.com" TargetMode="External"/><Relationship Id="rId89" Type="http://schemas.openxmlformats.org/officeDocument/2006/relationships/hyperlink" Target="mailto:habibaahmadzahid00@gmail.com" TargetMode="External"/><Relationship Id="rId112" Type="http://schemas.openxmlformats.org/officeDocument/2006/relationships/hyperlink" Target="mailto:kh.tayyab786@gmail.com" TargetMode="External"/><Relationship Id="rId16" Type="http://schemas.openxmlformats.org/officeDocument/2006/relationships/hyperlink" Target="mailto:mariabaloch558@gmail.com" TargetMode="External"/><Relationship Id="rId107" Type="http://schemas.openxmlformats.org/officeDocument/2006/relationships/hyperlink" Target="mailto:khannazishadnan@gmail.com" TargetMode="External"/><Relationship Id="rId11" Type="http://schemas.openxmlformats.org/officeDocument/2006/relationships/hyperlink" Target="mailto:laibarafique65@gmail.com" TargetMode="External"/><Relationship Id="rId32" Type="http://schemas.openxmlformats.org/officeDocument/2006/relationships/hyperlink" Target="mailto:nhira5730@gmail.com" TargetMode="External"/><Relationship Id="rId37" Type="http://schemas.openxmlformats.org/officeDocument/2006/relationships/hyperlink" Target="mailto:rimshaatanveer@gmail.com" TargetMode="External"/><Relationship Id="rId53" Type="http://schemas.openxmlformats.org/officeDocument/2006/relationships/hyperlink" Target="mailto:ridabatool394@gmail.com" TargetMode="External"/><Relationship Id="rId58" Type="http://schemas.openxmlformats.org/officeDocument/2006/relationships/hyperlink" Target="mailto:kinzaaimen46@gmail.com" TargetMode="External"/><Relationship Id="rId74" Type="http://schemas.openxmlformats.org/officeDocument/2006/relationships/hyperlink" Target="mailto:duavaneeza8418@gmail.com" TargetMode="External"/><Relationship Id="rId79" Type="http://schemas.openxmlformats.org/officeDocument/2006/relationships/hyperlink" Target="mailto:khansherzad1@gmail.com" TargetMode="External"/><Relationship Id="rId102" Type="http://schemas.openxmlformats.org/officeDocument/2006/relationships/hyperlink" Target="mailto:kinzaaimen46@gmail.com" TargetMode="External"/><Relationship Id="rId123" Type="http://schemas.openxmlformats.org/officeDocument/2006/relationships/hyperlink" Target="mailto:khansherzad1@gmail.com" TargetMode="External"/><Relationship Id="rId128" Type="http://schemas.openxmlformats.org/officeDocument/2006/relationships/hyperlink" Target="mailto:tabassumiqra252@gmail.com" TargetMode="External"/><Relationship Id="rId5" Type="http://schemas.openxmlformats.org/officeDocument/2006/relationships/hyperlink" Target="mailto:eisha.asghar2003@gmail.com" TargetMode="External"/><Relationship Id="rId90" Type="http://schemas.openxmlformats.org/officeDocument/2006/relationships/hyperlink" Target="mailto:emelhaemel0000@gmail.com" TargetMode="External"/><Relationship Id="rId95" Type="http://schemas.openxmlformats.org/officeDocument/2006/relationships/hyperlink" Target="mailto:rubabjadoon22@gmail.com" TargetMode="External"/><Relationship Id="rId22" Type="http://schemas.openxmlformats.org/officeDocument/2006/relationships/hyperlink" Target="mailto:m.maqsood313@gmail.com" TargetMode="External"/><Relationship Id="rId27" Type="http://schemas.openxmlformats.org/officeDocument/2006/relationships/hyperlink" Target="mailto:hassanparachabro@gmail.com" TargetMode="External"/><Relationship Id="rId43" Type="http://schemas.openxmlformats.org/officeDocument/2006/relationships/hyperlink" Target="mailto:mbdevelopment161@gmail.com" TargetMode="External"/><Relationship Id="rId48" Type="http://schemas.openxmlformats.org/officeDocument/2006/relationships/hyperlink" Target="mailto:ayeshakhan14052005@gmail.com" TargetMode="External"/><Relationship Id="rId64" Type="http://schemas.openxmlformats.org/officeDocument/2006/relationships/hyperlink" Target="mailto:maryamfarooqkhan2004@gmail.com" TargetMode="External"/><Relationship Id="rId69" Type="http://schemas.openxmlformats.org/officeDocument/2006/relationships/hyperlink" Target="mailto:mustafaijazdaudzai@gmail.com" TargetMode="External"/><Relationship Id="rId113" Type="http://schemas.openxmlformats.org/officeDocument/2006/relationships/hyperlink" Target="mailto:mustafaijazdaudzai@gmail.com" TargetMode="External"/><Relationship Id="rId118" Type="http://schemas.openxmlformats.org/officeDocument/2006/relationships/hyperlink" Target="mailto:duavaneeza8418@gmail.com" TargetMode="External"/><Relationship Id="rId80" Type="http://schemas.openxmlformats.org/officeDocument/2006/relationships/hyperlink" Target="mailto:zara.omar6@gmail.com" TargetMode="External"/><Relationship Id="rId85" Type="http://schemas.openxmlformats.org/officeDocument/2006/relationships/hyperlink" Target="mailto:irummushtaq32@gmail.com" TargetMode="External"/><Relationship Id="rId12" Type="http://schemas.openxmlformats.org/officeDocument/2006/relationships/hyperlink" Target="mailto:laibkhan819@gmail.com" TargetMode="External"/><Relationship Id="rId17" Type="http://schemas.openxmlformats.org/officeDocument/2006/relationships/hyperlink" Target="mailto:pareesa.chandi0123@gmail.com" TargetMode="External"/><Relationship Id="rId33" Type="http://schemas.openxmlformats.org/officeDocument/2006/relationships/hyperlink" Target="mailto:aqsanaveed.info@gmail.com" TargetMode="External"/><Relationship Id="rId38" Type="http://schemas.openxmlformats.org/officeDocument/2006/relationships/hyperlink" Target="mailto:blazeking368@gmail.com" TargetMode="External"/><Relationship Id="rId59" Type="http://schemas.openxmlformats.org/officeDocument/2006/relationships/hyperlink" Target="mailto:asmaraaiman16@gmail.com" TargetMode="External"/><Relationship Id="rId103" Type="http://schemas.openxmlformats.org/officeDocument/2006/relationships/hyperlink" Target="mailto:asmaraaiman16@gmail.com" TargetMode="External"/><Relationship Id="rId108" Type="http://schemas.openxmlformats.org/officeDocument/2006/relationships/hyperlink" Target="mailto:maryamfarooqkhan2004@gmail.com" TargetMode="External"/><Relationship Id="rId124" Type="http://schemas.openxmlformats.org/officeDocument/2006/relationships/hyperlink" Target="mailto:zara.omar6@gmail.com" TargetMode="External"/><Relationship Id="rId129" Type="http://schemas.openxmlformats.org/officeDocument/2006/relationships/hyperlink" Target="mailto:irummushtaq32@gmail.com" TargetMode="External"/><Relationship Id="rId54" Type="http://schemas.openxmlformats.org/officeDocument/2006/relationships/hyperlink" Target="mailto:lonisafya767@gmail.com" TargetMode="External"/><Relationship Id="rId70" Type="http://schemas.openxmlformats.org/officeDocument/2006/relationships/hyperlink" Target="mailto:shahbaz.nzaj@gmail.com" TargetMode="External"/><Relationship Id="rId75" Type="http://schemas.openxmlformats.org/officeDocument/2006/relationships/hyperlink" Target="mailto:kashafshahzadi173@gmail.com" TargetMode="External"/><Relationship Id="rId91" Type="http://schemas.openxmlformats.org/officeDocument/2006/relationships/hyperlink" Target="mailto:26missahmad@gmail.com" TargetMode="External"/><Relationship Id="rId96" Type="http://schemas.openxmlformats.org/officeDocument/2006/relationships/hyperlink" Target="mailto:farhanarahoojo3@gmail.com" TargetMode="External"/><Relationship Id="rId1" Type="http://schemas.openxmlformats.org/officeDocument/2006/relationships/hyperlink" Target="mailto:habibaahmadzahid00@gmail.com" TargetMode="External"/><Relationship Id="rId6" Type="http://schemas.openxmlformats.org/officeDocument/2006/relationships/hyperlink" Target="mailto:aleeshaeman417@gmail.com" TargetMode="External"/><Relationship Id="rId23" Type="http://schemas.openxmlformats.org/officeDocument/2006/relationships/hyperlink" Target="mailto:abdullahhassaan270@gmail.com" TargetMode="External"/><Relationship Id="rId28" Type="http://schemas.openxmlformats.org/officeDocument/2006/relationships/hyperlink" Target="mailto:shizaromesa123@gmail.com" TargetMode="External"/><Relationship Id="rId49" Type="http://schemas.openxmlformats.org/officeDocument/2006/relationships/hyperlink" Target="mailto:eisha.asghar2003@gmail.com" TargetMode="External"/><Relationship Id="rId114" Type="http://schemas.openxmlformats.org/officeDocument/2006/relationships/hyperlink" Target="mailto:shahbaz.nzaj@gmail.com" TargetMode="External"/><Relationship Id="rId119" Type="http://schemas.openxmlformats.org/officeDocument/2006/relationships/hyperlink" Target="mailto:kashafshahzadi173@gmail.com" TargetMode="External"/><Relationship Id="rId44" Type="http://schemas.openxmlformats.org/officeDocument/2006/relationships/hyperlink" Target="mailto:stemcoordinatora@olevels.edu.pk" TargetMode="External"/><Relationship Id="rId60" Type="http://schemas.openxmlformats.org/officeDocument/2006/relationships/hyperlink" Target="mailto:mariabaloch558@gmail.com" TargetMode="External"/><Relationship Id="rId65" Type="http://schemas.openxmlformats.org/officeDocument/2006/relationships/hyperlink" Target="mailto:daudzai198@gmail.com" TargetMode="External"/><Relationship Id="rId81" Type="http://schemas.openxmlformats.org/officeDocument/2006/relationships/hyperlink" Target="mailto:rimshaatanveer@gmail.com" TargetMode="External"/><Relationship Id="rId86" Type="http://schemas.openxmlformats.org/officeDocument/2006/relationships/hyperlink" Target="mailto:darwishadil2002@gmail.com" TargetMode="External"/><Relationship Id="rId130" Type="http://schemas.openxmlformats.org/officeDocument/2006/relationships/hyperlink" Target="mailto:darwishadil2002@gmail.com" TargetMode="External"/><Relationship Id="rId13" Type="http://schemas.openxmlformats.org/officeDocument/2006/relationships/hyperlink" Target="mailto:sshamdanahamayoun@gmail.com" TargetMode="External"/><Relationship Id="rId18" Type="http://schemas.openxmlformats.org/officeDocument/2006/relationships/hyperlink" Target="mailto:isramurtaza7@gmail.com" TargetMode="External"/><Relationship Id="rId39" Type="http://schemas.openxmlformats.org/officeDocument/2006/relationships/hyperlink" Target="mailto:bintekhan927@gmail.com" TargetMode="External"/><Relationship Id="rId109" Type="http://schemas.openxmlformats.org/officeDocument/2006/relationships/hyperlink" Target="mailto:daudzai198@gmail.com" TargetMode="External"/><Relationship Id="rId34" Type="http://schemas.openxmlformats.org/officeDocument/2006/relationships/hyperlink" Target="mailto:d63591251@gmail.com" TargetMode="External"/><Relationship Id="rId50" Type="http://schemas.openxmlformats.org/officeDocument/2006/relationships/hyperlink" Target="mailto:aleeshaeman417@gmail.com" TargetMode="External"/><Relationship Id="rId55" Type="http://schemas.openxmlformats.org/officeDocument/2006/relationships/hyperlink" Target="mailto:laibarafique65@gmail.com" TargetMode="External"/><Relationship Id="rId76" Type="http://schemas.openxmlformats.org/officeDocument/2006/relationships/hyperlink" Target="mailto:nhira5730@gmail.com" TargetMode="External"/><Relationship Id="rId97" Type="http://schemas.openxmlformats.org/officeDocument/2006/relationships/hyperlink" Target="mailto:ridabatool394@gmail.com" TargetMode="External"/><Relationship Id="rId104" Type="http://schemas.openxmlformats.org/officeDocument/2006/relationships/hyperlink" Target="mailto:mariabaloch558@gmail.com" TargetMode="External"/><Relationship Id="rId120" Type="http://schemas.openxmlformats.org/officeDocument/2006/relationships/hyperlink" Target="mailto:nhira5730@gmail.com" TargetMode="External"/><Relationship Id="rId125" Type="http://schemas.openxmlformats.org/officeDocument/2006/relationships/hyperlink" Target="mailto:rimshaatanveer@gmail.com" TargetMode="External"/><Relationship Id="rId7" Type="http://schemas.openxmlformats.org/officeDocument/2006/relationships/hyperlink" Target="mailto:rubabjadoon22@gmail.com" TargetMode="External"/><Relationship Id="rId71" Type="http://schemas.openxmlformats.org/officeDocument/2006/relationships/hyperlink" Target="mailto:hassanparachabro@gmail.com" TargetMode="External"/><Relationship Id="rId92" Type="http://schemas.openxmlformats.org/officeDocument/2006/relationships/hyperlink" Target="mailto:ayeshakhan14052005@gmail.com" TargetMode="External"/><Relationship Id="rId2" Type="http://schemas.openxmlformats.org/officeDocument/2006/relationships/hyperlink" Target="mailto:emelhaemel0000@gmail.com" TargetMode="External"/><Relationship Id="rId29" Type="http://schemas.openxmlformats.org/officeDocument/2006/relationships/hyperlink" Target="mailto:iman626sudozai@gmail.com" TargetMode="External"/><Relationship Id="rId24" Type="http://schemas.openxmlformats.org/officeDocument/2006/relationships/hyperlink" Target="mailto:kh.tayyab786@gmail.com" TargetMode="External"/><Relationship Id="rId40" Type="http://schemas.openxmlformats.org/officeDocument/2006/relationships/hyperlink" Target="mailto:tabassumiqra252@gmail.com" TargetMode="External"/><Relationship Id="rId45" Type="http://schemas.openxmlformats.org/officeDocument/2006/relationships/hyperlink" Target="mailto:habibaahmadzahid00@gmail.com" TargetMode="External"/><Relationship Id="rId66" Type="http://schemas.openxmlformats.org/officeDocument/2006/relationships/hyperlink" Target="mailto:m.maqsood313@gmail.com" TargetMode="External"/><Relationship Id="rId87" Type="http://schemas.openxmlformats.org/officeDocument/2006/relationships/hyperlink" Target="mailto:mbdevelopment161@gmail.com" TargetMode="External"/><Relationship Id="rId110" Type="http://schemas.openxmlformats.org/officeDocument/2006/relationships/hyperlink" Target="mailto:m.maqsood313@gmail.com" TargetMode="External"/><Relationship Id="rId115" Type="http://schemas.openxmlformats.org/officeDocument/2006/relationships/hyperlink" Target="mailto:hassanparachabro@gmail.com" TargetMode="External"/><Relationship Id="rId131" Type="http://schemas.openxmlformats.org/officeDocument/2006/relationships/hyperlink" Target="mailto:mbdevelopment161@gmail.com" TargetMode="External"/><Relationship Id="rId61" Type="http://schemas.openxmlformats.org/officeDocument/2006/relationships/hyperlink" Target="mailto:pareesa.chandi0123@gmail.com" TargetMode="External"/><Relationship Id="rId82" Type="http://schemas.openxmlformats.org/officeDocument/2006/relationships/hyperlink" Target="mailto:blazeking368@gmail.com" TargetMode="External"/><Relationship Id="rId19" Type="http://schemas.openxmlformats.org/officeDocument/2006/relationships/hyperlink" Target="mailto:khannazishadnan@gmail.com" TargetMode="External"/><Relationship Id="rId14" Type="http://schemas.openxmlformats.org/officeDocument/2006/relationships/hyperlink" Target="mailto:kinzaaimen46@gmail.com" TargetMode="External"/><Relationship Id="rId30" Type="http://schemas.openxmlformats.org/officeDocument/2006/relationships/hyperlink" Target="mailto:duavaneeza8418@gmail.com" TargetMode="External"/><Relationship Id="rId35" Type="http://schemas.openxmlformats.org/officeDocument/2006/relationships/hyperlink" Target="mailto:khansherzad1@gmail.com" TargetMode="External"/><Relationship Id="rId56" Type="http://schemas.openxmlformats.org/officeDocument/2006/relationships/hyperlink" Target="mailto:laibkhan819@gmail.com" TargetMode="External"/><Relationship Id="rId77" Type="http://schemas.openxmlformats.org/officeDocument/2006/relationships/hyperlink" Target="mailto:aqsanaveed.info@gmail.com" TargetMode="External"/><Relationship Id="rId100" Type="http://schemas.openxmlformats.org/officeDocument/2006/relationships/hyperlink" Target="mailto:laibkhan819@gmail.com" TargetMode="External"/><Relationship Id="rId105" Type="http://schemas.openxmlformats.org/officeDocument/2006/relationships/hyperlink" Target="mailto:pareesa.chandi0123@gmail.com" TargetMode="External"/><Relationship Id="rId126" Type="http://schemas.openxmlformats.org/officeDocument/2006/relationships/hyperlink" Target="mailto:blazeking368@gmail.com" TargetMode="External"/><Relationship Id="rId8" Type="http://schemas.openxmlformats.org/officeDocument/2006/relationships/hyperlink" Target="mailto:farhanarahoojo3@gmail.com" TargetMode="External"/><Relationship Id="rId51" Type="http://schemas.openxmlformats.org/officeDocument/2006/relationships/hyperlink" Target="mailto:rubabjadoon22@gmail.com" TargetMode="External"/><Relationship Id="rId72" Type="http://schemas.openxmlformats.org/officeDocument/2006/relationships/hyperlink" Target="mailto:shizaromesa123@gmail.com" TargetMode="External"/><Relationship Id="rId93" Type="http://schemas.openxmlformats.org/officeDocument/2006/relationships/hyperlink" Target="mailto:eisha.asghar2003@gmail.com" TargetMode="External"/><Relationship Id="rId98" Type="http://schemas.openxmlformats.org/officeDocument/2006/relationships/hyperlink" Target="mailto:lonisafya767@gmail.com" TargetMode="External"/><Relationship Id="rId121" Type="http://schemas.openxmlformats.org/officeDocument/2006/relationships/hyperlink" Target="mailto:aqsanaveed.info@gmail.com" TargetMode="External"/><Relationship Id="rId3" Type="http://schemas.openxmlformats.org/officeDocument/2006/relationships/hyperlink" Target="mailto:26missahmad@gmail.com" TargetMode="External"/><Relationship Id="rId25" Type="http://schemas.openxmlformats.org/officeDocument/2006/relationships/hyperlink" Target="mailto:mustafaijazdaudzai@gmail.com" TargetMode="External"/><Relationship Id="rId46" Type="http://schemas.openxmlformats.org/officeDocument/2006/relationships/hyperlink" Target="mailto:emelhaemel0000@gmail.com" TargetMode="External"/><Relationship Id="rId67" Type="http://schemas.openxmlformats.org/officeDocument/2006/relationships/hyperlink" Target="mailto:abdullahhassaan270@gmail.com" TargetMode="External"/><Relationship Id="rId116" Type="http://schemas.openxmlformats.org/officeDocument/2006/relationships/hyperlink" Target="mailto:shizaromesa123@gmail.com" TargetMode="External"/><Relationship Id="rId20" Type="http://schemas.openxmlformats.org/officeDocument/2006/relationships/hyperlink" Target="mailto:maryamfarooqkhan2004@gmail.com" TargetMode="External"/><Relationship Id="rId41" Type="http://schemas.openxmlformats.org/officeDocument/2006/relationships/hyperlink" Target="mailto:irummushtaq32@gmail.com" TargetMode="External"/><Relationship Id="rId62" Type="http://schemas.openxmlformats.org/officeDocument/2006/relationships/hyperlink" Target="mailto:isramurtaza7@gmail.com" TargetMode="External"/><Relationship Id="rId83" Type="http://schemas.openxmlformats.org/officeDocument/2006/relationships/hyperlink" Target="mailto:bintekhan927@gmail.com" TargetMode="External"/><Relationship Id="rId88" Type="http://schemas.openxmlformats.org/officeDocument/2006/relationships/hyperlink" Target="mailto:stemcoordinatora@olevels.edu.pk" TargetMode="External"/><Relationship Id="rId111" Type="http://schemas.openxmlformats.org/officeDocument/2006/relationships/hyperlink" Target="mailto:abdullahhassaan270@gmail.com" TargetMode="External"/><Relationship Id="rId132" Type="http://schemas.openxmlformats.org/officeDocument/2006/relationships/hyperlink" Target="mailto:stemcoordinatora@olevels.edu.pk" TargetMode="External"/><Relationship Id="rId15" Type="http://schemas.openxmlformats.org/officeDocument/2006/relationships/hyperlink" Target="mailto:asmaraaiman16@gmail.com" TargetMode="External"/><Relationship Id="rId36" Type="http://schemas.openxmlformats.org/officeDocument/2006/relationships/hyperlink" Target="mailto:zara.omar6@gmail.com" TargetMode="External"/><Relationship Id="rId57" Type="http://schemas.openxmlformats.org/officeDocument/2006/relationships/hyperlink" Target="mailto:sshamdanahamayoun@gmail.com" TargetMode="External"/><Relationship Id="rId106" Type="http://schemas.openxmlformats.org/officeDocument/2006/relationships/hyperlink" Target="mailto:isramurtaza7@gmail.com" TargetMode="External"/><Relationship Id="rId127" Type="http://schemas.openxmlformats.org/officeDocument/2006/relationships/hyperlink" Target="mailto:bintekhan927@gmail.com" TargetMode="External"/><Relationship Id="rId10" Type="http://schemas.openxmlformats.org/officeDocument/2006/relationships/hyperlink" Target="mailto:lonisafya767@gmail.com" TargetMode="External"/><Relationship Id="rId31" Type="http://schemas.openxmlformats.org/officeDocument/2006/relationships/hyperlink" Target="mailto:kashafshahzadi173@gmail.com" TargetMode="External"/><Relationship Id="rId52" Type="http://schemas.openxmlformats.org/officeDocument/2006/relationships/hyperlink" Target="mailto:farhanarahoojo3@gmail.com" TargetMode="External"/><Relationship Id="rId73" Type="http://schemas.openxmlformats.org/officeDocument/2006/relationships/hyperlink" Target="mailto:iman626sudozai@gmail.com" TargetMode="External"/><Relationship Id="rId78" Type="http://schemas.openxmlformats.org/officeDocument/2006/relationships/hyperlink" Target="mailto:d63591251@gmail.com" TargetMode="External"/><Relationship Id="rId94" Type="http://schemas.openxmlformats.org/officeDocument/2006/relationships/hyperlink" Target="mailto:aleeshaeman417@gmail.com" TargetMode="External"/><Relationship Id="rId99" Type="http://schemas.openxmlformats.org/officeDocument/2006/relationships/hyperlink" Target="mailto:laibarafique65@gmail.com" TargetMode="External"/><Relationship Id="rId101" Type="http://schemas.openxmlformats.org/officeDocument/2006/relationships/hyperlink" Target="mailto:sshamdanahamayoun@gmail.com" TargetMode="External"/><Relationship Id="rId122" Type="http://schemas.openxmlformats.org/officeDocument/2006/relationships/hyperlink" Target="mailto:d63591251@gmail.com" TargetMode="External"/><Relationship Id="rId4" Type="http://schemas.openxmlformats.org/officeDocument/2006/relationships/hyperlink" Target="mailto:ayeshakhan14052005@gmail.com" TargetMode="External"/><Relationship Id="rId9" Type="http://schemas.openxmlformats.org/officeDocument/2006/relationships/hyperlink" Target="mailto:ridabatool394@gmail.com" TargetMode="External"/><Relationship Id="rId26" Type="http://schemas.openxmlformats.org/officeDocument/2006/relationships/hyperlink" Target="mailto:shahbaz.nzaj@gmail.co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iman626sudozai@gmail.com" TargetMode="External"/><Relationship Id="rId21" Type="http://schemas.openxmlformats.org/officeDocument/2006/relationships/hyperlink" Target="mailto:daudzai198@gmail.com" TargetMode="External"/><Relationship Id="rId42" Type="http://schemas.openxmlformats.org/officeDocument/2006/relationships/hyperlink" Target="mailto:darwishadil2002@gmail.com" TargetMode="External"/><Relationship Id="rId47" Type="http://schemas.openxmlformats.org/officeDocument/2006/relationships/hyperlink" Target="mailto:26missahmad@gmail.com" TargetMode="External"/><Relationship Id="rId63" Type="http://schemas.openxmlformats.org/officeDocument/2006/relationships/hyperlink" Target="mailto:khannazishadnan@gmail.com" TargetMode="External"/><Relationship Id="rId68" Type="http://schemas.openxmlformats.org/officeDocument/2006/relationships/hyperlink" Target="mailto:kh.tayyab786@gmail.com" TargetMode="External"/><Relationship Id="rId84" Type="http://schemas.openxmlformats.org/officeDocument/2006/relationships/hyperlink" Target="mailto:tabassumiqra252@gmail.com" TargetMode="External"/><Relationship Id="rId89" Type="http://schemas.openxmlformats.org/officeDocument/2006/relationships/hyperlink" Target="mailto:habibaahmadzahid00@gmail.com" TargetMode="External"/><Relationship Id="rId112" Type="http://schemas.openxmlformats.org/officeDocument/2006/relationships/hyperlink" Target="mailto:kh.tayyab786@gmail.com" TargetMode="External"/><Relationship Id="rId16" Type="http://schemas.openxmlformats.org/officeDocument/2006/relationships/hyperlink" Target="mailto:mariabaloch558@gmail.com" TargetMode="External"/><Relationship Id="rId107" Type="http://schemas.openxmlformats.org/officeDocument/2006/relationships/hyperlink" Target="mailto:khannazishadnan@gmail.com" TargetMode="External"/><Relationship Id="rId11" Type="http://schemas.openxmlformats.org/officeDocument/2006/relationships/hyperlink" Target="mailto:laibarafique65@gmail.com" TargetMode="External"/><Relationship Id="rId32" Type="http://schemas.openxmlformats.org/officeDocument/2006/relationships/hyperlink" Target="mailto:nhira5730@gmail.com" TargetMode="External"/><Relationship Id="rId37" Type="http://schemas.openxmlformats.org/officeDocument/2006/relationships/hyperlink" Target="mailto:rimshaatanveer@gmail.com" TargetMode="External"/><Relationship Id="rId53" Type="http://schemas.openxmlformats.org/officeDocument/2006/relationships/hyperlink" Target="mailto:ridabatool394@gmail.com" TargetMode="External"/><Relationship Id="rId58" Type="http://schemas.openxmlformats.org/officeDocument/2006/relationships/hyperlink" Target="mailto:kinzaaimen46@gmail.com" TargetMode="External"/><Relationship Id="rId74" Type="http://schemas.openxmlformats.org/officeDocument/2006/relationships/hyperlink" Target="mailto:duavaneeza8418@gmail.com" TargetMode="External"/><Relationship Id="rId79" Type="http://schemas.openxmlformats.org/officeDocument/2006/relationships/hyperlink" Target="mailto:khansherzad1@gmail.com" TargetMode="External"/><Relationship Id="rId102" Type="http://schemas.openxmlformats.org/officeDocument/2006/relationships/hyperlink" Target="mailto:kinzaaimen46@gmail.com" TargetMode="External"/><Relationship Id="rId123" Type="http://schemas.openxmlformats.org/officeDocument/2006/relationships/hyperlink" Target="mailto:khansherzad1@gmail.com" TargetMode="External"/><Relationship Id="rId128" Type="http://schemas.openxmlformats.org/officeDocument/2006/relationships/hyperlink" Target="mailto:tabassumiqra252@gmail.com" TargetMode="External"/><Relationship Id="rId5" Type="http://schemas.openxmlformats.org/officeDocument/2006/relationships/hyperlink" Target="mailto:eisha.asghar2003@gmail.com" TargetMode="External"/><Relationship Id="rId90" Type="http://schemas.openxmlformats.org/officeDocument/2006/relationships/hyperlink" Target="mailto:emelhaemel0000@gmail.com" TargetMode="External"/><Relationship Id="rId95" Type="http://schemas.openxmlformats.org/officeDocument/2006/relationships/hyperlink" Target="mailto:rubabjadoon22@gmail.com" TargetMode="External"/><Relationship Id="rId22" Type="http://schemas.openxmlformats.org/officeDocument/2006/relationships/hyperlink" Target="mailto:m.maqsood313@gmail.com" TargetMode="External"/><Relationship Id="rId27" Type="http://schemas.openxmlformats.org/officeDocument/2006/relationships/hyperlink" Target="mailto:hassanparachabro@gmail.com" TargetMode="External"/><Relationship Id="rId43" Type="http://schemas.openxmlformats.org/officeDocument/2006/relationships/hyperlink" Target="mailto:mbdevelopment161@gmail.com" TargetMode="External"/><Relationship Id="rId48" Type="http://schemas.openxmlformats.org/officeDocument/2006/relationships/hyperlink" Target="mailto:ayeshakhan14052005@gmail.com" TargetMode="External"/><Relationship Id="rId64" Type="http://schemas.openxmlformats.org/officeDocument/2006/relationships/hyperlink" Target="mailto:maryamfarooqkhan2004@gmail.com" TargetMode="External"/><Relationship Id="rId69" Type="http://schemas.openxmlformats.org/officeDocument/2006/relationships/hyperlink" Target="mailto:mustafaijazdaudzai@gmail.com" TargetMode="External"/><Relationship Id="rId113" Type="http://schemas.openxmlformats.org/officeDocument/2006/relationships/hyperlink" Target="mailto:mustafaijazdaudzai@gmail.com" TargetMode="External"/><Relationship Id="rId118" Type="http://schemas.openxmlformats.org/officeDocument/2006/relationships/hyperlink" Target="mailto:duavaneeza8418@gmail.com" TargetMode="External"/><Relationship Id="rId80" Type="http://schemas.openxmlformats.org/officeDocument/2006/relationships/hyperlink" Target="mailto:zara.omar6@gmail.com" TargetMode="External"/><Relationship Id="rId85" Type="http://schemas.openxmlformats.org/officeDocument/2006/relationships/hyperlink" Target="mailto:irummushtaq32@gmail.com" TargetMode="External"/><Relationship Id="rId12" Type="http://schemas.openxmlformats.org/officeDocument/2006/relationships/hyperlink" Target="mailto:laibkhan819@gmail.com" TargetMode="External"/><Relationship Id="rId17" Type="http://schemas.openxmlformats.org/officeDocument/2006/relationships/hyperlink" Target="mailto:pareesa.chandi0123@gmail.com" TargetMode="External"/><Relationship Id="rId33" Type="http://schemas.openxmlformats.org/officeDocument/2006/relationships/hyperlink" Target="mailto:aqsanaveed.info@gmail.com" TargetMode="External"/><Relationship Id="rId38" Type="http://schemas.openxmlformats.org/officeDocument/2006/relationships/hyperlink" Target="mailto:blazeking368@gmail.com" TargetMode="External"/><Relationship Id="rId59" Type="http://schemas.openxmlformats.org/officeDocument/2006/relationships/hyperlink" Target="mailto:asmaraaiman16@gmail.com" TargetMode="External"/><Relationship Id="rId103" Type="http://schemas.openxmlformats.org/officeDocument/2006/relationships/hyperlink" Target="mailto:asmaraaiman16@gmail.com" TargetMode="External"/><Relationship Id="rId108" Type="http://schemas.openxmlformats.org/officeDocument/2006/relationships/hyperlink" Target="mailto:maryamfarooqkhan2004@gmail.com" TargetMode="External"/><Relationship Id="rId124" Type="http://schemas.openxmlformats.org/officeDocument/2006/relationships/hyperlink" Target="mailto:zara.omar6@gmail.com" TargetMode="External"/><Relationship Id="rId129" Type="http://schemas.openxmlformats.org/officeDocument/2006/relationships/hyperlink" Target="mailto:irummushtaq32@gmail.com" TargetMode="External"/><Relationship Id="rId54" Type="http://schemas.openxmlformats.org/officeDocument/2006/relationships/hyperlink" Target="mailto:lonisafya767@gmail.com" TargetMode="External"/><Relationship Id="rId70" Type="http://schemas.openxmlformats.org/officeDocument/2006/relationships/hyperlink" Target="mailto:shahbaz.nzaj@gmail.com" TargetMode="External"/><Relationship Id="rId75" Type="http://schemas.openxmlformats.org/officeDocument/2006/relationships/hyperlink" Target="mailto:kashafshahzadi173@gmail.com" TargetMode="External"/><Relationship Id="rId91" Type="http://schemas.openxmlformats.org/officeDocument/2006/relationships/hyperlink" Target="mailto:26missahmad@gmail.com" TargetMode="External"/><Relationship Id="rId96" Type="http://schemas.openxmlformats.org/officeDocument/2006/relationships/hyperlink" Target="mailto:farhanarahoojo3@gmail.com" TargetMode="External"/><Relationship Id="rId1" Type="http://schemas.openxmlformats.org/officeDocument/2006/relationships/hyperlink" Target="mailto:habibaahmadzahid00@gmail.com" TargetMode="External"/><Relationship Id="rId6" Type="http://schemas.openxmlformats.org/officeDocument/2006/relationships/hyperlink" Target="mailto:aleeshaeman417@gmail.com" TargetMode="External"/><Relationship Id="rId23" Type="http://schemas.openxmlformats.org/officeDocument/2006/relationships/hyperlink" Target="mailto:abdullahhassaan270@gmail.com" TargetMode="External"/><Relationship Id="rId28" Type="http://schemas.openxmlformats.org/officeDocument/2006/relationships/hyperlink" Target="mailto:shizaromesa123@gmail.com" TargetMode="External"/><Relationship Id="rId49" Type="http://schemas.openxmlformats.org/officeDocument/2006/relationships/hyperlink" Target="mailto:eisha.asghar2003@gmail.com" TargetMode="External"/><Relationship Id="rId114" Type="http://schemas.openxmlformats.org/officeDocument/2006/relationships/hyperlink" Target="mailto:shahbaz.nzaj@gmail.com" TargetMode="External"/><Relationship Id="rId119" Type="http://schemas.openxmlformats.org/officeDocument/2006/relationships/hyperlink" Target="mailto:kashafshahzadi173@gmail.com" TargetMode="External"/><Relationship Id="rId44" Type="http://schemas.openxmlformats.org/officeDocument/2006/relationships/hyperlink" Target="mailto:stemcoordinatora@olevels.edu.pk" TargetMode="External"/><Relationship Id="rId60" Type="http://schemas.openxmlformats.org/officeDocument/2006/relationships/hyperlink" Target="mailto:mariabaloch558@gmail.com" TargetMode="External"/><Relationship Id="rId65" Type="http://schemas.openxmlformats.org/officeDocument/2006/relationships/hyperlink" Target="mailto:daudzai198@gmail.com" TargetMode="External"/><Relationship Id="rId81" Type="http://schemas.openxmlformats.org/officeDocument/2006/relationships/hyperlink" Target="mailto:rimshaatanveer@gmail.com" TargetMode="External"/><Relationship Id="rId86" Type="http://schemas.openxmlformats.org/officeDocument/2006/relationships/hyperlink" Target="mailto:darwishadil2002@gmail.com" TargetMode="External"/><Relationship Id="rId130" Type="http://schemas.openxmlformats.org/officeDocument/2006/relationships/hyperlink" Target="mailto:darwishadil2002@gmail.com" TargetMode="External"/><Relationship Id="rId13" Type="http://schemas.openxmlformats.org/officeDocument/2006/relationships/hyperlink" Target="mailto:sshamdanahamayoun@gmail.com" TargetMode="External"/><Relationship Id="rId18" Type="http://schemas.openxmlformats.org/officeDocument/2006/relationships/hyperlink" Target="mailto:isramurtaza7@gmail.com" TargetMode="External"/><Relationship Id="rId39" Type="http://schemas.openxmlformats.org/officeDocument/2006/relationships/hyperlink" Target="mailto:bintekhan927@gmail.com" TargetMode="External"/><Relationship Id="rId109" Type="http://schemas.openxmlformats.org/officeDocument/2006/relationships/hyperlink" Target="mailto:daudzai198@gmail.com" TargetMode="External"/><Relationship Id="rId34" Type="http://schemas.openxmlformats.org/officeDocument/2006/relationships/hyperlink" Target="mailto:d63591251@gmail.com" TargetMode="External"/><Relationship Id="rId50" Type="http://schemas.openxmlformats.org/officeDocument/2006/relationships/hyperlink" Target="mailto:aleeshaeman417@gmail.com" TargetMode="External"/><Relationship Id="rId55" Type="http://schemas.openxmlformats.org/officeDocument/2006/relationships/hyperlink" Target="mailto:laibarafique65@gmail.com" TargetMode="External"/><Relationship Id="rId76" Type="http://schemas.openxmlformats.org/officeDocument/2006/relationships/hyperlink" Target="mailto:nhira5730@gmail.com" TargetMode="External"/><Relationship Id="rId97" Type="http://schemas.openxmlformats.org/officeDocument/2006/relationships/hyperlink" Target="mailto:ridabatool394@gmail.com" TargetMode="External"/><Relationship Id="rId104" Type="http://schemas.openxmlformats.org/officeDocument/2006/relationships/hyperlink" Target="mailto:mariabaloch558@gmail.com" TargetMode="External"/><Relationship Id="rId120" Type="http://schemas.openxmlformats.org/officeDocument/2006/relationships/hyperlink" Target="mailto:nhira5730@gmail.com" TargetMode="External"/><Relationship Id="rId125" Type="http://schemas.openxmlformats.org/officeDocument/2006/relationships/hyperlink" Target="mailto:rimshaatanveer@gmail.com" TargetMode="External"/><Relationship Id="rId7" Type="http://schemas.openxmlformats.org/officeDocument/2006/relationships/hyperlink" Target="mailto:rubabjadoon22@gmail.com" TargetMode="External"/><Relationship Id="rId71" Type="http://schemas.openxmlformats.org/officeDocument/2006/relationships/hyperlink" Target="mailto:hassanparachabro@gmail.com" TargetMode="External"/><Relationship Id="rId92" Type="http://schemas.openxmlformats.org/officeDocument/2006/relationships/hyperlink" Target="mailto:ayeshakhan14052005@gmail.com" TargetMode="External"/><Relationship Id="rId2" Type="http://schemas.openxmlformats.org/officeDocument/2006/relationships/hyperlink" Target="mailto:emelhaemel0000@gmail.com" TargetMode="External"/><Relationship Id="rId29" Type="http://schemas.openxmlformats.org/officeDocument/2006/relationships/hyperlink" Target="mailto:iman626sudozai@gmail.com" TargetMode="External"/><Relationship Id="rId24" Type="http://schemas.openxmlformats.org/officeDocument/2006/relationships/hyperlink" Target="mailto:kh.tayyab786@gmail.com" TargetMode="External"/><Relationship Id="rId40" Type="http://schemas.openxmlformats.org/officeDocument/2006/relationships/hyperlink" Target="mailto:tabassumiqra252@gmail.com" TargetMode="External"/><Relationship Id="rId45" Type="http://schemas.openxmlformats.org/officeDocument/2006/relationships/hyperlink" Target="mailto:habibaahmadzahid00@gmail.com" TargetMode="External"/><Relationship Id="rId66" Type="http://schemas.openxmlformats.org/officeDocument/2006/relationships/hyperlink" Target="mailto:m.maqsood313@gmail.com" TargetMode="External"/><Relationship Id="rId87" Type="http://schemas.openxmlformats.org/officeDocument/2006/relationships/hyperlink" Target="mailto:mbdevelopment161@gmail.com" TargetMode="External"/><Relationship Id="rId110" Type="http://schemas.openxmlformats.org/officeDocument/2006/relationships/hyperlink" Target="mailto:m.maqsood313@gmail.com" TargetMode="External"/><Relationship Id="rId115" Type="http://schemas.openxmlformats.org/officeDocument/2006/relationships/hyperlink" Target="mailto:hassanparachabro@gmail.com" TargetMode="External"/><Relationship Id="rId131" Type="http://schemas.openxmlformats.org/officeDocument/2006/relationships/hyperlink" Target="mailto:mbdevelopment161@gmail.com" TargetMode="External"/><Relationship Id="rId61" Type="http://schemas.openxmlformats.org/officeDocument/2006/relationships/hyperlink" Target="mailto:pareesa.chandi0123@gmail.com" TargetMode="External"/><Relationship Id="rId82" Type="http://schemas.openxmlformats.org/officeDocument/2006/relationships/hyperlink" Target="mailto:blazeking368@gmail.com" TargetMode="External"/><Relationship Id="rId19" Type="http://schemas.openxmlformats.org/officeDocument/2006/relationships/hyperlink" Target="mailto:khannazishadnan@gmail.com" TargetMode="External"/><Relationship Id="rId14" Type="http://schemas.openxmlformats.org/officeDocument/2006/relationships/hyperlink" Target="mailto:kinzaaimen46@gmail.com" TargetMode="External"/><Relationship Id="rId30" Type="http://schemas.openxmlformats.org/officeDocument/2006/relationships/hyperlink" Target="mailto:duavaneeza8418@gmail.com" TargetMode="External"/><Relationship Id="rId35" Type="http://schemas.openxmlformats.org/officeDocument/2006/relationships/hyperlink" Target="mailto:khansherzad1@gmail.com" TargetMode="External"/><Relationship Id="rId56" Type="http://schemas.openxmlformats.org/officeDocument/2006/relationships/hyperlink" Target="mailto:laibkhan819@gmail.com" TargetMode="External"/><Relationship Id="rId77" Type="http://schemas.openxmlformats.org/officeDocument/2006/relationships/hyperlink" Target="mailto:aqsanaveed.info@gmail.com" TargetMode="External"/><Relationship Id="rId100" Type="http://schemas.openxmlformats.org/officeDocument/2006/relationships/hyperlink" Target="mailto:laibkhan819@gmail.com" TargetMode="External"/><Relationship Id="rId105" Type="http://schemas.openxmlformats.org/officeDocument/2006/relationships/hyperlink" Target="mailto:pareesa.chandi0123@gmail.com" TargetMode="External"/><Relationship Id="rId126" Type="http://schemas.openxmlformats.org/officeDocument/2006/relationships/hyperlink" Target="mailto:blazeking368@gmail.com" TargetMode="External"/><Relationship Id="rId8" Type="http://schemas.openxmlformats.org/officeDocument/2006/relationships/hyperlink" Target="mailto:farhanarahoojo3@gmail.com" TargetMode="External"/><Relationship Id="rId51" Type="http://schemas.openxmlformats.org/officeDocument/2006/relationships/hyperlink" Target="mailto:rubabjadoon22@gmail.com" TargetMode="External"/><Relationship Id="rId72" Type="http://schemas.openxmlformats.org/officeDocument/2006/relationships/hyperlink" Target="mailto:shizaromesa123@gmail.com" TargetMode="External"/><Relationship Id="rId93" Type="http://schemas.openxmlformats.org/officeDocument/2006/relationships/hyperlink" Target="mailto:eisha.asghar2003@gmail.com" TargetMode="External"/><Relationship Id="rId98" Type="http://schemas.openxmlformats.org/officeDocument/2006/relationships/hyperlink" Target="mailto:lonisafya767@gmail.com" TargetMode="External"/><Relationship Id="rId121" Type="http://schemas.openxmlformats.org/officeDocument/2006/relationships/hyperlink" Target="mailto:aqsanaveed.info@gmail.com" TargetMode="External"/><Relationship Id="rId3" Type="http://schemas.openxmlformats.org/officeDocument/2006/relationships/hyperlink" Target="mailto:26missahmad@gmail.com" TargetMode="External"/><Relationship Id="rId25" Type="http://schemas.openxmlformats.org/officeDocument/2006/relationships/hyperlink" Target="mailto:mustafaijazdaudzai@gmail.com" TargetMode="External"/><Relationship Id="rId46" Type="http://schemas.openxmlformats.org/officeDocument/2006/relationships/hyperlink" Target="mailto:emelhaemel0000@gmail.com" TargetMode="External"/><Relationship Id="rId67" Type="http://schemas.openxmlformats.org/officeDocument/2006/relationships/hyperlink" Target="mailto:abdullahhassaan270@gmail.com" TargetMode="External"/><Relationship Id="rId116" Type="http://schemas.openxmlformats.org/officeDocument/2006/relationships/hyperlink" Target="mailto:shizaromesa123@gmail.com" TargetMode="External"/><Relationship Id="rId20" Type="http://schemas.openxmlformats.org/officeDocument/2006/relationships/hyperlink" Target="mailto:maryamfarooqkhan2004@gmail.com" TargetMode="External"/><Relationship Id="rId41" Type="http://schemas.openxmlformats.org/officeDocument/2006/relationships/hyperlink" Target="mailto:irummushtaq32@gmail.com" TargetMode="External"/><Relationship Id="rId62" Type="http://schemas.openxmlformats.org/officeDocument/2006/relationships/hyperlink" Target="mailto:isramurtaza7@gmail.com" TargetMode="External"/><Relationship Id="rId83" Type="http://schemas.openxmlformats.org/officeDocument/2006/relationships/hyperlink" Target="mailto:bintekhan927@gmail.com" TargetMode="External"/><Relationship Id="rId88" Type="http://schemas.openxmlformats.org/officeDocument/2006/relationships/hyperlink" Target="mailto:stemcoordinatora@olevels.edu.pk" TargetMode="External"/><Relationship Id="rId111" Type="http://schemas.openxmlformats.org/officeDocument/2006/relationships/hyperlink" Target="mailto:abdullahhassaan270@gmail.com" TargetMode="External"/><Relationship Id="rId132" Type="http://schemas.openxmlformats.org/officeDocument/2006/relationships/hyperlink" Target="mailto:stemcoordinatora@olevels.edu.pk" TargetMode="External"/><Relationship Id="rId15" Type="http://schemas.openxmlformats.org/officeDocument/2006/relationships/hyperlink" Target="mailto:asmaraaiman16@gmail.com" TargetMode="External"/><Relationship Id="rId36" Type="http://schemas.openxmlformats.org/officeDocument/2006/relationships/hyperlink" Target="mailto:zara.omar6@gmail.com" TargetMode="External"/><Relationship Id="rId57" Type="http://schemas.openxmlformats.org/officeDocument/2006/relationships/hyperlink" Target="mailto:sshamdanahamayoun@gmail.com" TargetMode="External"/><Relationship Id="rId106" Type="http://schemas.openxmlformats.org/officeDocument/2006/relationships/hyperlink" Target="mailto:isramurtaza7@gmail.com" TargetMode="External"/><Relationship Id="rId127" Type="http://schemas.openxmlformats.org/officeDocument/2006/relationships/hyperlink" Target="mailto:bintekhan927@gmail.com" TargetMode="External"/><Relationship Id="rId10" Type="http://schemas.openxmlformats.org/officeDocument/2006/relationships/hyperlink" Target="mailto:lonisafya767@gmail.com" TargetMode="External"/><Relationship Id="rId31" Type="http://schemas.openxmlformats.org/officeDocument/2006/relationships/hyperlink" Target="mailto:kashafshahzadi173@gmail.com" TargetMode="External"/><Relationship Id="rId52" Type="http://schemas.openxmlformats.org/officeDocument/2006/relationships/hyperlink" Target="mailto:farhanarahoojo3@gmail.com" TargetMode="External"/><Relationship Id="rId73" Type="http://schemas.openxmlformats.org/officeDocument/2006/relationships/hyperlink" Target="mailto:iman626sudozai@gmail.com" TargetMode="External"/><Relationship Id="rId78" Type="http://schemas.openxmlformats.org/officeDocument/2006/relationships/hyperlink" Target="mailto:d63591251@gmail.com" TargetMode="External"/><Relationship Id="rId94" Type="http://schemas.openxmlformats.org/officeDocument/2006/relationships/hyperlink" Target="mailto:aleeshaeman417@gmail.com" TargetMode="External"/><Relationship Id="rId99" Type="http://schemas.openxmlformats.org/officeDocument/2006/relationships/hyperlink" Target="mailto:laibarafique65@gmail.com" TargetMode="External"/><Relationship Id="rId101" Type="http://schemas.openxmlformats.org/officeDocument/2006/relationships/hyperlink" Target="mailto:sshamdanahamayoun@gmail.com" TargetMode="External"/><Relationship Id="rId122" Type="http://schemas.openxmlformats.org/officeDocument/2006/relationships/hyperlink" Target="mailto:d63591251@gmail.com" TargetMode="External"/><Relationship Id="rId4" Type="http://schemas.openxmlformats.org/officeDocument/2006/relationships/hyperlink" Target="mailto:ayeshakhan14052005@gmail.com" TargetMode="External"/><Relationship Id="rId9" Type="http://schemas.openxmlformats.org/officeDocument/2006/relationships/hyperlink" Target="mailto:ridabatool394@gmail.com" TargetMode="External"/><Relationship Id="rId26" Type="http://schemas.openxmlformats.org/officeDocument/2006/relationships/hyperlink" Target="mailto:shahbaz.nzaj@gmail.com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sshamdanahamayoun@gmail.com" TargetMode="External"/><Relationship Id="rId18" Type="http://schemas.openxmlformats.org/officeDocument/2006/relationships/hyperlink" Target="mailto:isramurtaza7@gmail.com" TargetMode="External"/><Relationship Id="rId26" Type="http://schemas.openxmlformats.org/officeDocument/2006/relationships/hyperlink" Target="mailto:shahbaz.nzaj@gmail.com" TargetMode="External"/><Relationship Id="rId39" Type="http://schemas.openxmlformats.org/officeDocument/2006/relationships/hyperlink" Target="mailto:bintekhan927@gmail.com" TargetMode="External"/><Relationship Id="rId21" Type="http://schemas.openxmlformats.org/officeDocument/2006/relationships/hyperlink" Target="mailto:daudzai198@gmail.com" TargetMode="External"/><Relationship Id="rId34" Type="http://schemas.openxmlformats.org/officeDocument/2006/relationships/hyperlink" Target="mailto:d63591251@gmail.com" TargetMode="External"/><Relationship Id="rId42" Type="http://schemas.openxmlformats.org/officeDocument/2006/relationships/hyperlink" Target="mailto:darwishadil2002@gmail.com" TargetMode="External"/><Relationship Id="rId7" Type="http://schemas.openxmlformats.org/officeDocument/2006/relationships/hyperlink" Target="mailto:rubabjadoon22@gmail.com" TargetMode="External"/><Relationship Id="rId2" Type="http://schemas.openxmlformats.org/officeDocument/2006/relationships/hyperlink" Target="mailto:emelhaemel0000@gmail.com" TargetMode="External"/><Relationship Id="rId16" Type="http://schemas.openxmlformats.org/officeDocument/2006/relationships/hyperlink" Target="mailto:mariabaloch558@gmail.com" TargetMode="External"/><Relationship Id="rId20" Type="http://schemas.openxmlformats.org/officeDocument/2006/relationships/hyperlink" Target="mailto:maryamfarooqkhan2004@gmail.com" TargetMode="External"/><Relationship Id="rId29" Type="http://schemas.openxmlformats.org/officeDocument/2006/relationships/hyperlink" Target="mailto:iman626sudozai@gmail.com" TargetMode="External"/><Relationship Id="rId41" Type="http://schemas.openxmlformats.org/officeDocument/2006/relationships/hyperlink" Target="mailto:irummushtaq32@gmail.com" TargetMode="External"/><Relationship Id="rId1" Type="http://schemas.openxmlformats.org/officeDocument/2006/relationships/hyperlink" Target="mailto:habibaahmadzahid00@gmail.com" TargetMode="External"/><Relationship Id="rId6" Type="http://schemas.openxmlformats.org/officeDocument/2006/relationships/hyperlink" Target="mailto:aleeshaeman417@gmail.com" TargetMode="External"/><Relationship Id="rId11" Type="http://schemas.openxmlformats.org/officeDocument/2006/relationships/hyperlink" Target="mailto:laibarafique65@gmail.com" TargetMode="External"/><Relationship Id="rId24" Type="http://schemas.openxmlformats.org/officeDocument/2006/relationships/hyperlink" Target="mailto:kh.tayyab786@gmail.com" TargetMode="External"/><Relationship Id="rId32" Type="http://schemas.openxmlformats.org/officeDocument/2006/relationships/hyperlink" Target="mailto:nhira5730@gmail.com" TargetMode="External"/><Relationship Id="rId37" Type="http://schemas.openxmlformats.org/officeDocument/2006/relationships/hyperlink" Target="mailto:rimshaatanveer@gmail.com" TargetMode="External"/><Relationship Id="rId40" Type="http://schemas.openxmlformats.org/officeDocument/2006/relationships/hyperlink" Target="mailto:tabassumiqra252@gmail.com" TargetMode="External"/><Relationship Id="rId5" Type="http://schemas.openxmlformats.org/officeDocument/2006/relationships/hyperlink" Target="mailto:eisha.asghar2003@gmail.com" TargetMode="External"/><Relationship Id="rId15" Type="http://schemas.openxmlformats.org/officeDocument/2006/relationships/hyperlink" Target="mailto:asmaraaiman16@gmail.com" TargetMode="External"/><Relationship Id="rId23" Type="http://schemas.openxmlformats.org/officeDocument/2006/relationships/hyperlink" Target="mailto:abdullahhassaan270@gmail.com" TargetMode="External"/><Relationship Id="rId28" Type="http://schemas.openxmlformats.org/officeDocument/2006/relationships/hyperlink" Target="mailto:shizaromesa123@gmail.com" TargetMode="External"/><Relationship Id="rId36" Type="http://schemas.openxmlformats.org/officeDocument/2006/relationships/hyperlink" Target="mailto:zara.omar6@gmail.com" TargetMode="External"/><Relationship Id="rId10" Type="http://schemas.openxmlformats.org/officeDocument/2006/relationships/hyperlink" Target="mailto:lonisafya767@gmail.com" TargetMode="External"/><Relationship Id="rId19" Type="http://schemas.openxmlformats.org/officeDocument/2006/relationships/hyperlink" Target="mailto:khannazishadnan@gmail.com" TargetMode="External"/><Relationship Id="rId31" Type="http://schemas.openxmlformats.org/officeDocument/2006/relationships/hyperlink" Target="mailto:kashafshahzadi173@gmail.com" TargetMode="External"/><Relationship Id="rId44" Type="http://schemas.openxmlformats.org/officeDocument/2006/relationships/hyperlink" Target="mailto:stemcoordinatora@olevels.edu.pk" TargetMode="External"/><Relationship Id="rId4" Type="http://schemas.openxmlformats.org/officeDocument/2006/relationships/hyperlink" Target="mailto:ayeshakhan14052005@gmail.com" TargetMode="External"/><Relationship Id="rId9" Type="http://schemas.openxmlformats.org/officeDocument/2006/relationships/hyperlink" Target="mailto:ridabatool394@gmail.com" TargetMode="External"/><Relationship Id="rId14" Type="http://schemas.openxmlformats.org/officeDocument/2006/relationships/hyperlink" Target="mailto:kinzaaimen46@gmail.com" TargetMode="External"/><Relationship Id="rId22" Type="http://schemas.openxmlformats.org/officeDocument/2006/relationships/hyperlink" Target="mailto:m.maqsood313@gmail.com" TargetMode="External"/><Relationship Id="rId27" Type="http://schemas.openxmlformats.org/officeDocument/2006/relationships/hyperlink" Target="mailto:hassanparachabro@gmail.com" TargetMode="External"/><Relationship Id="rId30" Type="http://schemas.openxmlformats.org/officeDocument/2006/relationships/hyperlink" Target="mailto:duavaneeza8418@gmail.com" TargetMode="External"/><Relationship Id="rId35" Type="http://schemas.openxmlformats.org/officeDocument/2006/relationships/hyperlink" Target="mailto:khansherzad1@gmail.com" TargetMode="External"/><Relationship Id="rId43" Type="http://schemas.openxmlformats.org/officeDocument/2006/relationships/hyperlink" Target="mailto:mbdevelopment161@gmail.com" TargetMode="External"/><Relationship Id="rId8" Type="http://schemas.openxmlformats.org/officeDocument/2006/relationships/hyperlink" Target="mailto:farhanarahoojo3@gmail.com" TargetMode="External"/><Relationship Id="rId3" Type="http://schemas.openxmlformats.org/officeDocument/2006/relationships/hyperlink" Target="mailto:26missahmad@gmail.com" TargetMode="External"/><Relationship Id="rId12" Type="http://schemas.openxmlformats.org/officeDocument/2006/relationships/hyperlink" Target="mailto:laibkhan819@gmail.com" TargetMode="External"/><Relationship Id="rId17" Type="http://schemas.openxmlformats.org/officeDocument/2006/relationships/hyperlink" Target="mailto:pareesa.chandi0123@gmail.com" TargetMode="External"/><Relationship Id="rId25" Type="http://schemas.openxmlformats.org/officeDocument/2006/relationships/hyperlink" Target="mailto:mustafaijazdaudzai@gmail.com" TargetMode="External"/><Relationship Id="rId33" Type="http://schemas.openxmlformats.org/officeDocument/2006/relationships/hyperlink" Target="mailto:aqsanaveed.info@gmail.com" TargetMode="External"/><Relationship Id="rId38" Type="http://schemas.openxmlformats.org/officeDocument/2006/relationships/hyperlink" Target="mailto:blazeking36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1"/>
  <sheetViews>
    <sheetView tabSelected="1" topLeftCell="A71" zoomScale="59" zoomScaleNormal="100" workbookViewId="0">
      <selection activeCell="C48" sqref="C48"/>
    </sheetView>
  </sheetViews>
  <sheetFormatPr defaultRowHeight="14.5" x14ac:dyDescent="0.35"/>
  <cols>
    <col min="2" max="2" width="34.1796875" bestFit="1" customWidth="1"/>
    <col min="3" max="3" width="13.1796875" bestFit="1" customWidth="1"/>
    <col min="4" max="4" width="12.54296875" bestFit="1" customWidth="1"/>
    <col min="5" max="5" width="12.7265625" bestFit="1" customWidth="1"/>
    <col min="6" max="6" width="18.54296875" bestFit="1" customWidth="1"/>
    <col min="7" max="7" width="21.7265625" bestFit="1" customWidth="1"/>
    <col min="8" max="8" width="26.81640625" customWidth="1"/>
    <col min="9" max="9" width="11" bestFit="1" customWidth="1"/>
    <col min="10" max="10" width="10.54296875" customWidth="1"/>
    <col min="11" max="11" width="23.453125" bestFit="1" customWidth="1"/>
    <col min="12" max="12" width="15.1796875" bestFit="1" customWidth="1"/>
    <col min="13" max="13" width="15.453125" bestFit="1" customWidth="1"/>
    <col min="14" max="14" width="11" bestFit="1" customWidth="1"/>
    <col min="15" max="15" width="31.81640625" bestFit="1" customWidth="1"/>
    <col min="16" max="16" width="16.453125" bestFit="1" customWidth="1"/>
    <col min="17" max="17" width="17.26953125" bestFit="1" customWidth="1"/>
    <col min="22" max="22" width="32.54296875" customWidth="1"/>
    <col min="23" max="23" width="11.26953125" customWidth="1"/>
    <col min="24" max="24" width="10.7265625" customWidth="1"/>
    <col min="25" max="25" width="11.08984375" customWidth="1"/>
    <col min="26" max="26" width="10.90625" customWidth="1"/>
    <col min="27" max="27" width="10" customWidth="1"/>
    <col min="28" max="30" width="10.81640625" bestFit="1" customWidth="1"/>
    <col min="31" max="31" width="13.6328125" customWidth="1"/>
    <col min="32" max="32" width="11.7265625" bestFit="1" customWidth="1"/>
    <col min="33" max="33" width="10.54296875" customWidth="1"/>
    <col min="34" max="34" width="14.1796875" customWidth="1"/>
    <col min="35" max="35" width="14.90625" customWidth="1"/>
    <col min="42" max="42" width="11.81640625" bestFit="1" customWidth="1"/>
  </cols>
  <sheetData>
    <row r="1" spans="1:42" ht="36" customHeight="1" x14ac:dyDescent="0.55000000000000004">
      <c r="A1" s="41" t="s">
        <v>60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2"/>
      <c r="U1" s="7" t="s">
        <v>44</v>
      </c>
      <c r="V1" s="7" t="s">
        <v>0</v>
      </c>
      <c r="W1" s="2" t="s">
        <v>79</v>
      </c>
      <c r="X1" s="2" t="s">
        <v>80</v>
      </c>
      <c r="Y1" s="2" t="s">
        <v>81</v>
      </c>
      <c r="Z1" s="2" t="s">
        <v>82</v>
      </c>
      <c r="AA1" s="2" t="s">
        <v>83</v>
      </c>
      <c r="AB1" s="2" t="s">
        <v>84</v>
      </c>
      <c r="AC1" s="2" t="s">
        <v>85</v>
      </c>
      <c r="AD1" s="2" t="s">
        <v>86</v>
      </c>
      <c r="AE1" s="2" t="s">
        <v>87</v>
      </c>
      <c r="AF1" s="2" t="s">
        <v>88</v>
      </c>
      <c r="AG1" s="2" t="s">
        <v>111</v>
      </c>
      <c r="AH1" s="2" t="s">
        <v>112</v>
      </c>
      <c r="AI1" s="2" t="s">
        <v>116</v>
      </c>
      <c r="AJ1" s="8" t="s">
        <v>90</v>
      </c>
      <c r="AK1" s="2" t="s">
        <v>91</v>
      </c>
      <c r="AL1" s="2" t="s">
        <v>92</v>
      </c>
      <c r="AM1" s="2" t="s">
        <v>93</v>
      </c>
      <c r="AN1" s="2" t="s">
        <v>94</v>
      </c>
      <c r="AO1" s="2" t="s">
        <v>95</v>
      </c>
      <c r="AP1" s="13" t="s">
        <v>115</v>
      </c>
    </row>
    <row r="2" spans="1:42" x14ac:dyDescent="0.35">
      <c r="A2" s="2" t="s">
        <v>44</v>
      </c>
      <c r="B2" s="2" t="s">
        <v>0</v>
      </c>
      <c r="C2" s="2" t="s">
        <v>45</v>
      </c>
      <c r="D2" s="2" t="s">
        <v>46</v>
      </c>
      <c r="E2" s="2" t="s">
        <v>47</v>
      </c>
      <c r="F2" s="2" t="s">
        <v>48</v>
      </c>
      <c r="G2" s="2" t="s">
        <v>49</v>
      </c>
      <c r="H2" s="2" t="s">
        <v>50</v>
      </c>
      <c r="I2" s="2" t="s">
        <v>51</v>
      </c>
      <c r="J2" s="2" t="s">
        <v>52</v>
      </c>
      <c r="K2" s="2" t="s">
        <v>53</v>
      </c>
      <c r="L2" s="2" t="s">
        <v>54</v>
      </c>
      <c r="M2" s="2" t="s">
        <v>55</v>
      </c>
      <c r="N2" s="2" t="s">
        <v>56</v>
      </c>
      <c r="O2" s="2" t="s">
        <v>57</v>
      </c>
      <c r="P2" s="2" t="s">
        <v>58</v>
      </c>
      <c r="Q2" s="2" t="s">
        <v>59</v>
      </c>
      <c r="R2" s="13" t="s">
        <v>103</v>
      </c>
      <c r="U2" s="43" t="s">
        <v>96</v>
      </c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5"/>
    </row>
    <row r="3" spans="1:42" x14ac:dyDescent="0.35">
      <c r="A3" s="1"/>
      <c r="B3" s="1"/>
      <c r="C3" s="28" t="s">
        <v>78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U3" s="46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47"/>
    </row>
    <row r="4" spans="1:42" x14ac:dyDescent="0.35">
      <c r="A4" s="2">
        <v>1</v>
      </c>
      <c r="B4" s="3" t="s">
        <v>1</v>
      </c>
      <c r="C4" s="4">
        <v>3</v>
      </c>
      <c r="D4" s="1">
        <v>3</v>
      </c>
      <c r="E4" s="1">
        <v>2</v>
      </c>
      <c r="F4" s="1">
        <v>4</v>
      </c>
      <c r="G4" s="1">
        <v>3</v>
      </c>
      <c r="H4" s="1">
        <v>2</v>
      </c>
      <c r="I4" s="1">
        <v>4</v>
      </c>
      <c r="J4" s="1">
        <v>5</v>
      </c>
      <c r="K4" s="1">
        <v>2</v>
      </c>
      <c r="L4" s="1">
        <v>5</v>
      </c>
      <c r="M4" s="1">
        <v>6</v>
      </c>
      <c r="N4" s="1">
        <v>2</v>
      </c>
      <c r="O4" s="1">
        <v>2</v>
      </c>
      <c r="P4" s="1">
        <v>5</v>
      </c>
      <c r="Q4" s="1">
        <v>6</v>
      </c>
      <c r="R4">
        <f t="shared" ref="R4:R47" si="0">AVERAGE(C4:Q4)</f>
        <v>3.6</v>
      </c>
      <c r="U4" s="2">
        <v>1</v>
      </c>
      <c r="V4" s="3" t="s">
        <v>1</v>
      </c>
      <c r="W4" s="1">
        <v>1</v>
      </c>
      <c r="X4" s="1">
        <v>2</v>
      </c>
      <c r="Y4" s="1">
        <v>1</v>
      </c>
      <c r="Z4" s="1">
        <v>1</v>
      </c>
      <c r="AA4" s="1">
        <v>3</v>
      </c>
      <c r="AB4" s="1">
        <v>4</v>
      </c>
      <c r="AC4" s="1">
        <v>1</v>
      </c>
      <c r="AD4" s="1">
        <v>3</v>
      </c>
      <c r="AE4" s="1">
        <v>4</v>
      </c>
      <c r="AF4" s="1">
        <v>2</v>
      </c>
      <c r="AG4" s="1">
        <f>SUM(W4,Y4,AA4,AC4,AE4)-5</f>
        <v>5</v>
      </c>
      <c r="AH4" s="1">
        <f>25-SUM(X4,Z4,AB4,AD4,AF4)</f>
        <v>13</v>
      </c>
      <c r="AI4" s="1">
        <f>SUM(AG4,AH4)*2.5</f>
        <v>45</v>
      </c>
      <c r="AJ4" s="10">
        <v>5</v>
      </c>
      <c r="AK4" s="1">
        <v>20</v>
      </c>
      <c r="AL4" s="1">
        <v>5</v>
      </c>
      <c r="AM4" s="1">
        <v>40</v>
      </c>
      <c r="AN4" s="1">
        <v>40</v>
      </c>
      <c r="AO4" s="1">
        <v>20</v>
      </c>
      <c r="AP4">
        <f t="shared" ref="AP4:AP47" si="1">AVERAGE(AJ4:AO4)</f>
        <v>21.666666666666668</v>
      </c>
    </row>
    <row r="5" spans="1:42" x14ac:dyDescent="0.35">
      <c r="A5" s="2">
        <v>2</v>
      </c>
      <c r="B5" s="3" t="s">
        <v>2</v>
      </c>
      <c r="C5" s="1">
        <v>3</v>
      </c>
      <c r="D5" s="1">
        <v>2</v>
      </c>
      <c r="E5" s="1">
        <v>3</v>
      </c>
      <c r="F5" s="1">
        <v>3</v>
      </c>
      <c r="G5" s="1">
        <v>2</v>
      </c>
      <c r="H5" s="1">
        <v>4</v>
      </c>
      <c r="I5" s="1">
        <v>5</v>
      </c>
      <c r="J5" s="1">
        <v>5</v>
      </c>
      <c r="K5" s="1">
        <v>2</v>
      </c>
      <c r="L5" s="1">
        <v>6</v>
      </c>
      <c r="M5" s="1">
        <v>2</v>
      </c>
      <c r="N5" s="1">
        <v>5</v>
      </c>
      <c r="O5" s="1">
        <v>3</v>
      </c>
      <c r="P5" s="1">
        <v>2</v>
      </c>
      <c r="Q5" s="1">
        <v>5</v>
      </c>
      <c r="R5">
        <f t="shared" si="0"/>
        <v>3.4666666666666668</v>
      </c>
      <c r="U5" s="2">
        <v>2</v>
      </c>
      <c r="V5" s="3" t="s">
        <v>2</v>
      </c>
      <c r="W5" s="1">
        <v>1</v>
      </c>
      <c r="X5" s="1">
        <v>2</v>
      </c>
      <c r="Y5" s="1">
        <v>1</v>
      </c>
      <c r="Z5" s="1">
        <v>3</v>
      </c>
      <c r="AA5" s="1">
        <v>1</v>
      </c>
      <c r="AB5" s="1">
        <v>4</v>
      </c>
      <c r="AC5" s="1">
        <v>1</v>
      </c>
      <c r="AD5" s="1">
        <v>4</v>
      </c>
      <c r="AE5" s="1">
        <v>1</v>
      </c>
      <c r="AF5" s="1">
        <v>3</v>
      </c>
      <c r="AG5" s="1">
        <f>SUM(W5,Y5,AA5,AC5,AE5)-5</f>
        <v>0</v>
      </c>
      <c r="AH5" s="1">
        <f>25-SUM(X5,Z5,AB5,AD5,AF5)</f>
        <v>9</v>
      </c>
      <c r="AI5" s="15">
        <f>SUM(AG5,AH5)*2.5</f>
        <v>22.5</v>
      </c>
      <c r="AJ5" s="10">
        <v>5</v>
      </c>
      <c r="AK5" s="1">
        <v>20</v>
      </c>
      <c r="AL5" s="1">
        <v>60</v>
      </c>
      <c r="AM5" s="1">
        <v>5</v>
      </c>
      <c r="AN5" s="1">
        <v>20</v>
      </c>
      <c r="AO5" s="1">
        <v>5</v>
      </c>
      <c r="AP5">
        <f t="shared" si="1"/>
        <v>19.166666666666668</v>
      </c>
    </row>
    <row r="6" spans="1:42" x14ac:dyDescent="0.35">
      <c r="A6" s="2">
        <v>3</v>
      </c>
      <c r="B6" s="3" t="s">
        <v>3</v>
      </c>
      <c r="C6" s="1">
        <v>5</v>
      </c>
      <c r="D6" s="1">
        <v>3</v>
      </c>
      <c r="E6" s="1">
        <v>4</v>
      </c>
      <c r="F6" s="1">
        <v>3</v>
      </c>
      <c r="G6" s="1">
        <v>3</v>
      </c>
      <c r="H6" s="1">
        <v>5</v>
      </c>
      <c r="I6" s="1">
        <v>2</v>
      </c>
      <c r="J6" s="1">
        <v>6</v>
      </c>
      <c r="K6" s="1">
        <v>7</v>
      </c>
      <c r="L6" s="1">
        <v>7</v>
      </c>
      <c r="M6" s="1">
        <v>1</v>
      </c>
      <c r="N6" s="1">
        <v>1</v>
      </c>
      <c r="O6" s="1">
        <v>3</v>
      </c>
      <c r="P6" s="1">
        <v>1</v>
      </c>
      <c r="Q6" s="1">
        <v>2</v>
      </c>
      <c r="R6">
        <f t="shared" si="0"/>
        <v>3.5333333333333332</v>
      </c>
      <c r="U6" s="2">
        <v>3</v>
      </c>
      <c r="V6" s="3" t="s">
        <v>3</v>
      </c>
      <c r="W6" s="1">
        <v>1</v>
      </c>
      <c r="X6" s="1">
        <v>1</v>
      </c>
      <c r="Y6" s="9">
        <v>1</v>
      </c>
      <c r="Z6" s="1">
        <v>3</v>
      </c>
      <c r="AA6" s="1">
        <v>5</v>
      </c>
      <c r="AB6" s="1">
        <v>5</v>
      </c>
      <c r="AC6" s="1">
        <v>1</v>
      </c>
      <c r="AD6" s="1">
        <v>3</v>
      </c>
      <c r="AE6" s="1">
        <v>2</v>
      </c>
      <c r="AF6" s="1">
        <v>2</v>
      </c>
      <c r="AG6" s="1">
        <v>5</v>
      </c>
      <c r="AH6" s="1">
        <v>11</v>
      </c>
      <c r="AI6">
        <v>40</v>
      </c>
      <c r="AJ6" s="1">
        <v>85</v>
      </c>
      <c r="AK6" s="10">
        <v>20</v>
      </c>
      <c r="AL6" s="1">
        <v>40</v>
      </c>
      <c r="AM6" s="1">
        <v>40</v>
      </c>
      <c r="AN6" s="1">
        <v>20</v>
      </c>
      <c r="AO6" s="1">
        <v>20</v>
      </c>
      <c r="AP6">
        <f t="shared" si="1"/>
        <v>37.5</v>
      </c>
    </row>
    <row r="7" spans="1:42" x14ac:dyDescent="0.35">
      <c r="A7" s="2">
        <v>4</v>
      </c>
      <c r="B7" s="3" t="s">
        <v>4</v>
      </c>
      <c r="C7" s="1">
        <v>1</v>
      </c>
      <c r="D7" s="1">
        <v>4</v>
      </c>
      <c r="E7" s="1">
        <v>2</v>
      </c>
      <c r="F7" s="1">
        <v>5</v>
      </c>
      <c r="G7" s="1">
        <v>4</v>
      </c>
      <c r="H7" s="1">
        <v>3</v>
      </c>
      <c r="I7" s="1">
        <v>1</v>
      </c>
      <c r="J7" s="1">
        <v>6</v>
      </c>
      <c r="K7" s="1">
        <v>3</v>
      </c>
      <c r="L7" s="1">
        <v>2</v>
      </c>
      <c r="M7" s="1">
        <v>2</v>
      </c>
      <c r="N7" s="1">
        <v>1</v>
      </c>
      <c r="O7" s="1">
        <v>5</v>
      </c>
      <c r="P7" s="1">
        <v>5</v>
      </c>
      <c r="Q7" s="1">
        <v>3</v>
      </c>
      <c r="R7">
        <f t="shared" si="0"/>
        <v>3.1333333333333333</v>
      </c>
      <c r="U7" s="2">
        <v>4</v>
      </c>
      <c r="V7" s="3" t="s">
        <v>4</v>
      </c>
      <c r="W7" s="1">
        <v>2</v>
      </c>
      <c r="X7" s="1">
        <v>1</v>
      </c>
      <c r="Y7" s="1">
        <v>2</v>
      </c>
      <c r="Z7" s="6">
        <v>3</v>
      </c>
      <c r="AA7" s="1">
        <v>1</v>
      </c>
      <c r="AB7" s="1">
        <v>3</v>
      </c>
      <c r="AC7" s="1">
        <v>1</v>
      </c>
      <c r="AD7" s="1">
        <v>3</v>
      </c>
      <c r="AE7" s="1">
        <v>5</v>
      </c>
      <c r="AF7" s="1">
        <v>1</v>
      </c>
      <c r="AG7" s="1">
        <v>11</v>
      </c>
      <c r="AH7" s="1">
        <v>11</v>
      </c>
      <c r="AI7" s="1">
        <v>50</v>
      </c>
      <c r="AJ7" s="1">
        <v>5</v>
      </c>
      <c r="AK7" s="1">
        <v>5</v>
      </c>
      <c r="AL7" s="1">
        <v>40</v>
      </c>
      <c r="AM7" s="1">
        <v>40</v>
      </c>
      <c r="AN7" s="1">
        <v>20</v>
      </c>
      <c r="AO7" s="1">
        <v>40</v>
      </c>
      <c r="AP7">
        <f t="shared" si="1"/>
        <v>25</v>
      </c>
    </row>
    <row r="8" spans="1:42" x14ac:dyDescent="0.35">
      <c r="A8" s="2">
        <v>5</v>
      </c>
      <c r="B8" s="3" t="s">
        <v>5</v>
      </c>
      <c r="C8" s="1">
        <v>1</v>
      </c>
      <c r="D8" s="1">
        <v>2</v>
      </c>
      <c r="E8" s="1">
        <v>4</v>
      </c>
      <c r="F8" s="1">
        <v>5</v>
      </c>
      <c r="G8" s="1">
        <v>2</v>
      </c>
      <c r="H8" s="1">
        <v>6</v>
      </c>
      <c r="I8" s="1">
        <v>5</v>
      </c>
      <c r="J8" s="1">
        <v>5</v>
      </c>
      <c r="K8" s="1">
        <v>2</v>
      </c>
      <c r="L8" s="1">
        <v>2</v>
      </c>
      <c r="M8" s="1">
        <v>4</v>
      </c>
      <c r="N8" s="1">
        <v>4</v>
      </c>
      <c r="O8" s="1">
        <v>1</v>
      </c>
      <c r="P8" s="1">
        <v>2</v>
      </c>
      <c r="Q8" s="1">
        <v>3</v>
      </c>
      <c r="R8">
        <f t="shared" si="0"/>
        <v>3.2</v>
      </c>
      <c r="U8" s="2">
        <v>5</v>
      </c>
      <c r="V8" s="3" t="s">
        <v>5</v>
      </c>
      <c r="W8" s="1">
        <v>1</v>
      </c>
      <c r="X8" s="1">
        <v>2</v>
      </c>
      <c r="Y8" s="1">
        <v>1</v>
      </c>
      <c r="Z8" s="1">
        <v>1</v>
      </c>
      <c r="AA8" s="1">
        <v>4</v>
      </c>
      <c r="AB8" s="1">
        <v>2</v>
      </c>
      <c r="AC8" s="1">
        <v>2</v>
      </c>
      <c r="AD8" s="1">
        <v>4</v>
      </c>
      <c r="AE8" s="1">
        <v>4</v>
      </c>
      <c r="AF8" s="1">
        <v>3</v>
      </c>
      <c r="AG8" s="1">
        <v>12</v>
      </c>
      <c r="AH8" s="1">
        <v>12</v>
      </c>
      <c r="AI8" s="1">
        <v>50</v>
      </c>
      <c r="AJ8" s="1">
        <v>85</v>
      </c>
      <c r="AK8" s="1">
        <v>40</v>
      </c>
      <c r="AL8" s="1">
        <v>40</v>
      </c>
      <c r="AM8" s="1">
        <v>60</v>
      </c>
      <c r="AN8" s="1">
        <v>40</v>
      </c>
      <c r="AO8" s="1">
        <v>60</v>
      </c>
      <c r="AP8">
        <f t="shared" si="1"/>
        <v>54.166666666666664</v>
      </c>
    </row>
    <row r="9" spans="1:42" x14ac:dyDescent="0.35">
      <c r="A9" s="2">
        <v>6</v>
      </c>
      <c r="B9" s="3" t="s">
        <v>6</v>
      </c>
      <c r="C9" s="1">
        <v>2</v>
      </c>
      <c r="D9" s="1">
        <v>4</v>
      </c>
      <c r="E9" s="1">
        <v>2</v>
      </c>
      <c r="F9" s="1">
        <v>6</v>
      </c>
      <c r="G9" s="1">
        <v>4</v>
      </c>
      <c r="H9" s="1">
        <v>4</v>
      </c>
      <c r="I9" s="1">
        <v>2</v>
      </c>
      <c r="J9" s="1">
        <v>2</v>
      </c>
      <c r="K9" s="1">
        <v>3</v>
      </c>
      <c r="L9" s="1">
        <v>1</v>
      </c>
      <c r="M9" s="1">
        <v>3</v>
      </c>
      <c r="N9" s="1">
        <v>4</v>
      </c>
      <c r="O9" s="1">
        <v>1</v>
      </c>
      <c r="P9" s="1">
        <v>2</v>
      </c>
      <c r="Q9" s="1">
        <v>5</v>
      </c>
      <c r="R9">
        <f t="shared" si="0"/>
        <v>3</v>
      </c>
      <c r="U9" s="2">
        <v>6</v>
      </c>
      <c r="V9" s="3" t="s">
        <v>6</v>
      </c>
      <c r="W9" s="1">
        <v>1</v>
      </c>
      <c r="X9" s="1">
        <v>2</v>
      </c>
      <c r="Y9" s="1">
        <v>1</v>
      </c>
      <c r="Z9" s="1">
        <v>1</v>
      </c>
      <c r="AA9" s="1">
        <v>2</v>
      </c>
      <c r="AB9" s="1">
        <v>2</v>
      </c>
      <c r="AC9" s="1">
        <v>3</v>
      </c>
      <c r="AD9" s="1">
        <v>3</v>
      </c>
      <c r="AE9" s="1">
        <v>4</v>
      </c>
      <c r="AF9" s="1">
        <v>3</v>
      </c>
      <c r="AG9" s="1">
        <v>11</v>
      </c>
      <c r="AH9" s="1">
        <v>11</v>
      </c>
      <c r="AI9" s="1">
        <v>50</v>
      </c>
      <c r="AJ9" s="1">
        <v>5</v>
      </c>
      <c r="AK9" s="1">
        <v>5</v>
      </c>
      <c r="AL9" s="1">
        <v>20</v>
      </c>
      <c r="AM9" s="1">
        <v>5</v>
      </c>
      <c r="AN9" s="1">
        <v>40</v>
      </c>
      <c r="AO9" s="1">
        <v>20</v>
      </c>
      <c r="AP9">
        <f t="shared" si="1"/>
        <v>15.833333333333334</v>
      </c>
    </row>
    <row r="10" spans="1:42" x14ac:dyDescent="0.35">
      <c r="A10" s="2">
        <v>7</v>
      </c>
      <c r="B10" s="3" t="s">
        <v>7</v>
      </c>
      <c r="C10" s="1">
        <v>5</v>
      </c>
      <c r="D10" s="1">
        <v>2</v>
      </c>
      <c r="E10" s="1">
        <v>3</v>
      </c>
      <c r="F10" s="1">
        <v>6</v>
      </c>
      <c r="G10" s="1">
        <v>2</v>
      </c>
      <c r="H10" s="1">
        <v>3</v>
      </c>
      <c r="I10" s="1">
        <v>2</v>
      </c>
      <c r="J10" s="1">
        <v>3</v>
      </c>
      <c r="K10" s="1">
        <v>5</v>
      </c>
      <c r="L10" s="1">
        <v>6</v>
      </c>
      <c r="M10" s="1">
        <v>4</v>
      </c>
      <c r="N10" s="1">
        <v>5</v>
      </c>
      <c r="O10" s="1">
        <v>2</v>
      </c>
      <c r="P10" s="1">
        <v>7</v>
      </c>
      <c r="Q10" s="1">
        <v>1</v>
      </c>
      <c r="R10">
        <f t="shared" si="0"/>
        <v>3.7333333333333334</v>
      </c>
      <c r="U10" s="2">
        <v>7</v>
      </c>
      <c r="V10" s="3" t="s">
        <v>7</v>
      </c>
      <c r="W10" s="1">
        <v>3</v>
      </c>
      <c r="X10" s="1">
        <v>2</v>
      </c>
      <c r="Y10" s="1">
        <v>3</v>
      </c>
      <c r="Z10" s="1">
        <v>2</v>
      </c>
      <c r="AA10" s="1">
        <v>3</v>
      </c>
      <c r="AB10" s="1">
        <v>2</v>
      </c>
      <c r="AC10" s="1">
        <v>1</v>
      </c>
      <c r="AD10" s="1">
        <v>2</v>
      </c>
      <c r="AE10" s="1">
        <v>3</v>
      </c>
      <c r="AF10" s="1">
        <v>4</v>
      </c>
      <c r="AG10" s="1">
        <v>13</v>
      </c>
      <c r="AH10" s="1">
        <v>12</v>
      </c>
      <c r="AI10" s="1">
        <v>52.5</v>
      </c>
      <c r="AJ10" s="1">
        <v>20</v>
      </c>
      <c r="AK10" s="1">
        <v>5</v>
      </c>
      <c r="AL10" s="1">
        <v>20</v>
      </c>
      <c r="AM10" s="1">
        <v>20</v>
      </c>
      <c r="AN10" s="1">
        <v>40</v>
      </c>
      <c r="AO10" s="1">
        <v>20</v>
      </c>
      <c r="AP10">
        <f t="shared" si="1"/>
        <v>20.833333333333332</v>
      </c>
    </row>
    <row r="11" spans="1:42" x14ac:dyDescent="0.35">
      <c r="A11" s="2">
        <v>8</v>
      </c>
      <c r="B11" s="3" t="s">
        <v>8</v>
      </c>
      <c r="C11" s="1">
        <v>2</v>
      </c>
      <c r="D11" s="1">
        <v>3</v>
      </c>
      <c r="E11" s="1">
        <v>3</v>
      </c>
      <c r="F11" s="1">
        <v>5</v>
      </c>
      <c r="G11" s="1">
        <v>3</v>
      </c>
      <c r="H11" s="1">
        <v>5</v>
      </c>
      <c r="I11" s="1">
        <v>7</v>
      </c>
      <c r="J11" s="1">
        <v>3</v>
      </c>
      <c r="K11" s="1">
        <v>6</v>
      </c>
      <c r="L11" s="1">
        <v>5</v>
      </c>
      <c r="M11" s="1">
        <v>4</v>
      </c>
      <c r="N11" s="1">
        <v>6</v>
      </c>
      <c r="O11" s="1">
        <v>5</v>
      </c>
      <c r="P11" s="1">
        <v>3</v>
      </c>
      <c r="Q11" s="1">
        <v>1</v>
      </c>
      <c r="R11">
        <f t="shared" si="0"/>
        <v>4.0666666666666664</v>
      </c>
      <c r="U11" s="2">
        <v>8</v>
      </c>
      <c r="V11" s="3" t="s">
        <v>8</v>
      </c>
      <c r="W11" s="1">
        <v>1</v>
      </c>
      <c r="X11" s="1">
        <v>2</v>
      </c>
      <c r="Y11" s="1">
        <v>1</v>
      </c>
      <c r="Z11" s="1">
        <v>2</v>
      </c>
      <c r="AA11" s="1">
        <v>3</v>
      </c>
      <c r="AB11" s="1">
        <v>3</v>
      </c>
      <c r="AC11" s="1">
        <v>4</v>
      </c>
      <c r="AD11" s="1">
        <v>5</v>
      </c>
      <c r="AE11" s="1">
        <v>5</v>
      </c>
      <c r="AF11" s="1">
        <v>4</v>
      </c>
      <c r="AG11" s="1">
        <v>14</v>
      </c>
      <c r="AH11" s="1">
        <v>16</v>
      </c>
      <c r="AI11" s="1">
        <v>45</v>
      </c>
      <c r="AJ11" s="1">
        <v>20</v>
      </c>
      <c r="AK11" s="1">
        <v>5</v>
      </c>
      <c r="AL11" s="1">
        <v>20</v>
      </c>
      <c r="AM11" s="1">
        <v>20</v>
      </c>
      <c r="AN11" s="1">
        <v>40</v>
      </c>
      <c r="AO11" s="1">
        <v>40</v>
      </c>
      <c r="AP11">
        <f t="shared" si="1"/>
        <v>24.166666666666668</v>
      </c>
    </row>
    <row r="12" spans="1:42" x14ac:dyDescent="0.35">
      <c r="A12" s="2">
        <v>9</v>
      </c>
      <c r="B12" s="3" t="s">
        <v>9</v>
      </c>
      <c r="C12" s="1">
        <v>2</v>
      </c>
      <c r="D12" s="1">
        <v>3</v>
      </c>
      <c r="E12" s="1">
        <v>3</v>
      </c>
      <c r="F12" s="1">
        <v>2</v>
      </c>
      <c r="G12" s="1">
        <v>3</v>
      </c>
      <c r="H12" s="1">
        <v>3</v>
      </c>
      <c r="I12" s="1">
        <v>3</v>
      </c>
      <c r="J12" s="1">
        <v>5</v>
      </c>
      <c r="K12" s="1">
        <v>4</v>
      </c>
      <c r="L12" s="1">
        <v>5</v>
      </c>
      <c r="M12" s="1">
        <v>3</v>
      </c>
      <c r="N12" s="1">
        <v>2</v>
      </c>
      <c r="O12" s="1">
        <v>2</v>
      </c>
      <c r="P12" s="1">
        <v>2</v>
      </c>
      <c r="Q12" s="1">
        <v>2</v>
      </c>
      <c r="R12">
        <f t="shared" si="0"/>
        <v>2.9333333333333331</v>
      </c>
      <c r="U12" s="2">
        <v>9</v>
      </c>
      <c r="V12" s="3" t="s">
        <v>9</v>
      </c>
      <c r="W12" s="1">
        <v>2</v>
      </c>
      <c r="X12" s="1">
        <v>1</v>
      </c>
      <c r="Y12" s="1">
        <v>2</v>
      </c>
      <c r="Z12" s="1">
        <v>2</v>
      </c>
      <c r="AA12" s="1">
        <v>3</v>
      </c>
      <c r="AB12" s="1">
        <v>2</v>
      </c>
      <c r="AC12" s="1">
        <v>5</v>
      </c>
      <c r="AD12" s="1">
        <v>2</v>
      </c>
      <c r="AE12" s="1">
        <v>2</v>
      </c>
      <c r="AF12" s="1">
        <v>1</v>
      </c>
      <c r="AG12" s="1">
        <v>14</v>
      </c>
      <c r="AH12" s="1">
        <v>8</v>
      </c>
      <c r="AI12" s="1">
        <v>65</v>
      </c>
      <c r="AJ12" s="1">
        <v>40</v>
      </c>
      <c r="AK12" s="1">
        <v>40</v>
      </c>
      <c r="AL12" s="1">
        <v>60</v>
      </c>
      <c r="AM12" s="1">
        <v>40</v>
      </c>
      <c r="AN12" s="1">
        <v>20</v>
      </c>
      <c r="AO12" s="1">
        <v>60</v>
      </c>
      <c r="AP12">
        <f t="shared" si="1"/>
        <v>43.333333333333336</v>
      </c>
    </row>
    <row r="13" spans="1:42" x14ac:dyDescent="0.35">
      <c r="A13" s="2">
        <v>10</v>
      </c>
      <c r="B13" s="3" t="s">
        <v>10</v>
      </c>
      <c r="C13" s="1">
        <v>3</v>
      </c>
      <c r="D13" s="1">
        <v>3</v>
      </c>
      <c r="E13" s="1">
        <v>2</v>
      </c>
      <c r="F13" s="1">
        <v>3</v>
      </c>
      <c r="G13" s="1">
        <v>3</v>
      </c>
      <c r="H13" s="1">
        <v>7</v>
      </c>
      <c r="I13" s="1">
        <v>2</v>
      </c>
      <c r="J13" s="1">
        <v>1</v>
      </c>
      <c r="K13" s="1">
        <v>5</v>
      </c>
      <c r="L13" s="1">
        <v>4</v>
      </c>
      <c r="M13" s="1">
        <v>2</v>
      </c>
      <c r="N13" s="1">
        <v>1</v>
      </c>
      <c r="O13" s="1">
        <v>2</v>
      </c>
      <c r="P13" s="1">
        <v>3</v>
      </c>
      <c r="Q13" s="1">
        <v>5</v>
      </c>
      <c r="R13">
        <f t="shared" si="0"/>
        <v>3.0666666666666669</v>
      </c>
      <c r="U13" s="2">
        <v>10</v>
      </c>
      <c r="V13" s="3" t="s">
        <v>10</v>
      </c>
      <c r="W13" s="1">
        <v>2</v>
      </c>
      <c r="X13" s="1">
        <v>1</v>
      </c>
      <c r="Y13" s="1">
        <v>2</v>
      </c>
      <c r="Z13" s="1">
        <v>2</v>
      </c>
      <c r="AA13" s="1">
        <v>3</v>
      </c>
      <c r="AB13" s="1">
        <v>3</v>
      </c>
      <c r="AC13" s="1">
        <v>4</v>
      </c>
      <c r="AD13" s="1">
        <v>3</v>
      </c>
      <c r="AE13" s="1">
        <v>4</v>
      </c>
      <c r="AF13" s="1">
        <v>3</v>
      </c>
      <c r="AG13" s="1">
        <v>15</v>
      </c>
      <c r="AH13" s="1">
        <v>12</v>
      </c>
      <c r="AI13" s="1">
        <v>57.5</v>
      </c>
      <c r="AJ13" s="1">
        <v>20</v>
      </c>
      <c r="AK13" s="1">
        <v>40</v>
      </c>
      <c r="AL13" s="1">
        <v>20</v>
      </c>
      <c r="AM13" s="1">
        <v>40</v>
      </c>
      <c r="AN13" s="1">
        <v>20</v>
      </c>
      <c r="AO13" s="1">
        <v>40</v>
      </c>
      <c r="AP13">
        <f t="shared" si="1"/>
        <v>30</v>
      </c>
    </row>
    <row r="14" spans="1:42" x14ac:dyDescent="0.35">
      <c r="A14" s="2">
        <v>11</v>
      </c>
      <c r="B14" s="3" t="s">
        <v>11</v>
      </c>
      <c r="C14" s="1">
        <v>4</v>
      </c>
      <c r="D14" s="1">
        <v>2</v>
      </c>
      <c r="E14" s="1">
        <v>2</v>
      </c>
      <c r="F14" s="1">
        <v>3</v>
      </c>
      <c r="G14" s="1">
        <v>5</v>
      </c>
      <c r="H14" s="1">
        <v>5</v>
      </c>
      <c r="I14" s="1">
        <v>3</v>
      </c>
      <c r="J14" s="1">
        <v>1</v>
      </c>
      <c r="K14" s="1">
        <v>1</v>
      </c>
      <c r="L14" s="1">
        <v>3</v>
      </c>
      <c r="M14" s="1">
        <v>3</v>
      </c>
      <c r="N14" s="1">
        <v>2</v>
      </c>
      <c r="O14" s="1">
        <v>3</v>
      </c>
      <c r="P14" s="1">
        <v>5</v>
      </c>
      <c r="Q14" s="1">
        <v>2</v>
      </c>
      <c r="R14">
        <f t="shared" si="0"/>
        <v>2.9333333333333331</v>
      </c>
      <c r="U14" s="2">
        <v>11</v>
      </c>
      <c r="V14" s="3" t="s">
        <v>11</v>
      </c>
      <c r="W14" s="1">
        <v>2</v>
      </c>
      <c r="X14" s="1">
        <v>3</v>
      </c>
      <c r="Y14" s="1">
        <v>2</v>
      </c>
      <c r="Z14" s="1">
        <v>2</v>
      </c>
      <c r="AA14" s="1">
        <v>3</v>
      </c>
      <c r="AB14" s="1">
        <v>2</v>
      </c>
      <c r="AC14" s="1">
        <v>3</v>
      </c>
      <c r="AD14" s="1">
        <v>2</v>
      </c>
      <c r="AE14" s="1">
        <v>3</v>
      </c>
      <c r="AF14" s="1">
        <v>2</v>
      </c>
      <c r="AG14" s="1">
        <v>13</v>
      </c>
      <c r="AH14" s="1">
        <v>11</v>
      </c>
      <c r="AI14" s="1">
        <v>55</v>
      </c>
      <c r="AJ14" s="1">
        <v>20</v>
      </c>
      <c r="AK14" s="1">
        <v>20</v>
      </c>
      <c r="AL14" s="1">
        <v>20</v>
      </c>
      <c r="AM14" s="1">
        <v>20</v>
      </c>
      <c r="AN14" s="1">
        <v>20</v>
      </c>
      <c r="AO14" s="1">
        <v>40</v>
      </c>
      <c r="AP14">
        <f t="shared" si="1"/>
        <v>23.333333333333332</v>
      </c>
    </row>
    <row r="15" spans="1:42" x14ac:dyDescent="0.35">
      <c r="A15" s="2">
        <v>12</v>
      </c>
      <c r="B15" s="3" t="s">
        <v>12</v>
      </c>
      <c r="C15" s="1">
        <v>1</v>
      </c>
      <c r="D15" s="1">
        <v>2</v>
      </c>
      <c r="E15" s="1">
        <v>3</v>
      </c>
      <c r="F15" s="1">
        <v>5</v>
      </c>
      <c r="G15" s="1">
        <v>2</v>
      </c>
      <c r="H15" s="1">
        <v>4</v>
      </c>
      <c r="I15" s="1">
        <v>5</v>
      </c>
      <c r="J15" s="1">
        <v>2</v>
      </c>
      <c r="K15" s="1">
        <v>1</v>
      </c>
      <c r="L15" s="1">
        <v>3</v>
      </c>
      <c r="M15" s="1">
        <v>4</v>
      </c>
      <c r="N15" s="1">
        <v>4</v>
      </c>
      <c r="O15" s="1">
        <v>3</v>
      </c>
      <c r="P15" s="1">
        <v>6</v>
      </c>
      <c r="Q15" s="1">
        <v>2</v>
      </c>
      <c r="R15">
        <f t="shared" si="0"/>
        <v>3.1333333333333333</v>
      </c>
      <c r="U15" s="2">
        <v>12</v>
      </c>
      <c r="V15" s="3" t="s">
        <v>12</v>
      </c>
      <c r="W15" s="1">
        <v>1</v>
      </c>
      <c r="X15" s="1">
        <v>2</v>
      </c>
      <c r="Y15" s="1">
        <v>1</v>
      </c>
      <c r="Z15" s="1">
        <v>4</v>
      </c>
      <c r="AA15" s="1">
        <v>3</v>
      </c>
      <c r="AB15" s="1">
        <v>4</v>
      </c>
      <c r="AC15" s="1">
        <v>5</v>
      </c>
      <c r="AD15" s="1">
        <v>4</v>
      </c>
      <c r="AE15" s="1">
        <v>4</v>
      </c>
      <c r="AF15" s="1">
        <v>4</v>
      </c>
      <c r="AG15" s="1">
        <v>14</v>
      </c>
      <c r="AH15" s="1">
        <v>18</v>
      </c>
      <c r="AI15" s="1">
        <v>40</v>
      </c>
      <c r="AJ15" s="1">
        <v>5</v>
      </c>
      <c r="AK15" s="1">
        <v>20</v>
      </c>
      <c r="AL15" s="1">
        <v>5</v>
      </c>
      <c r="AM15" s="1">
        <v>20</v>
      </c>
      <c r="AN15" s="1">
        <v>20</v>
      </c>
      <c r="AO15" s="1">
        <v>40</v>
      </c>
      <c r="AP15">
        <f t="shared" si="1"/>
        <v>18.333333333333332</v>
      </c>
    </row>
    <row r="16" spans="1:42" x14ac:dyDescent="0.35">
      <c r="A16" s="2">
        <v>13</v>
      </c>
      <c r="B16" s="3" t="s">
        <v>13</v>
      </c>
      <c r="C16" s="1">
        <v>2</v>
      </c>
      <c r="D16" s="1">
        <v>3</v>
      </c>
      <c r="E16" s="1">
        <v>4</v>
      </c>
      <c r="F16" s="1">
        <v>1</v>
      </c>
      <c r="G16" s="1">
        <v>2</v>
      </c>
      <c r="H16" s="1">
        <v>5</v>
      </c>
      <c r="I16" s="1">
        <v>6</v>
      </c>
      <c r="J16" s="1">
        <v>5</v>
      </c>
      <c r="K16" s="1">
        <v>4</v>
      </c>
      <c r="L16" s="1">
        <v>5</v>
      </c>
      <c r="M16" s="1">
        <v>2</v>
      </c>
      <c r="N16" s="1">
        <v>3</v>
      </c>
      <c r="O16" s="1">
        <v>4</v>
      </c>
      <c r="P16" s="1">
        <v>4</v>
      </c>
      <c r="Q16" s="1">
        <v>3</v>
      </c>
      <c r="R16">
        <f t="shared" si="0"/>
        <v>3.5333333333333332</v>
      </c>
      <c r="U16" s="2">
        <v>13</v>
      </c>
      <c r="V16" s="3" t="s">
        <v>13</v>
      </c>
      <c r="W16" s="1">
        <v>2</v>
      </c>
      <c r="X16" s="1">
        <v>1</v>
      </c>
      <c r="Y16" s="1">
        <v>2</v>
      </c>
      <c r="Z16" s="1">
        <v>1</v>
      </c>
      <c r="AA16" s="1">
        <v>2</v>
      </c>
      <c r="AB16" s="1">
        <v>2</v>
      </c>
      <c r="AC16" s="1">
        <v>1</v>
      </c>
      <c r="AD16" s="1">
        <v>2</v>
      </c>
      <c r="AE16" s="1">
        <v>1</v>
      </c>
      <c r="AF16" s="1">
        <v>2</v>
      </c>
      <c r="AG16" s="1">
        <v>8</v>
      </c>
      <c r="AH16" s="1">
        <v>8</v>
      </c>
      <c r="AI16" s="1">
        <v>50</v>
      </c>
      <c r="AJ16" s="1">
        <v>60</v>
      </c>
      <c r="AK16" s="1">
        <v>40</v>
      </c>
      <c r="AL16" s="1">
        <v>60</v>
      </c>
      <c r="AM16" s="1">
        <v>85</v>
      </c>
      <c r="AN16" s="1">
        <v>40</v>
      </c>
      <c r="AO16" s="1">
        <v>40</v>
      </c>
      <c r="AP16">
        <f t="shared" si="1"/>
        <v>54.166666666666664</v>
      </c>
    </row>
    <row r="17" spans="1:42" x14ac:dyDescent="0.35">
      <c r="A17" s="2">
        <v>14</v>
      </c>
      <c r="B17" s="3" t="s">
        <v>14</v>
      </c>
      <c r="C17" s="1">
        <v>3</v>
      </c>
      <c r="D17" s="1">
        <v>4</v>
      </c>
      <c r="E17" s="1">
        <v>2</v>
      </c>
      <c r="F17" s="1">
        <v>1</v>
      </c>
      <c r="G17" s="1">
        <v>3</v>
      </c>
      <c r="H17" s="1">
        <v>2</v>
      </c>
      <c r="I17" s="1">
        <v>2</v>
      </c>
      <c r="J17" s="1">
        <v>2</v>
      </c>
      <c r="K17" s="1">
        <v>4</v>
      </c>
      <c r="L17" s="1">
        <v>5</v>
      </c>
      <c r="M17" s="1">
        <v>4</v>
      </c>
      <c r="N17" s="1">
        <v>4</v>
      </c>
      <c r="O17" s="1">
        <v>3</v>
      </c>
      <c r="P17" s="1">
        <v>5</v>
      </c>
      <c r="Q17" s="1">
        <v>3</v>
      </c>
      <c r="R17">
        <f t="shared" si="0"/>
        <v>3.1333333333333333</v>
      </c>
      <c r="U17" s="2">
        <v>14</v>
      </c>
      <c r="V17" s="3" t="s">
        <v>14</v>
      </c>
      <c r="W17" s="1">
        <v>1</v>
      </c>
      <c r="X17" s="1">
        <v>1</v>
      </c>
      <c r="Y17" s="1">
        <v>2</v>
      </c>
      <c r="Z17" s="1">
        <v>3</v>
      </c>
      <c r="AA17" s="1">
        <v>4</v>
      </c>
      <c r="AB17" s="1">
        <v>1</v>
      </c>
      <c r="AC17" s="1">
        <v>3</v>
      </c>
      <c r="AD17" s="1">
        <v>1</v>
      </c>
      <c r="AE17" s="1">
        <v>3</v>
      </c>
      <c r="AF17" s="1">
        <v>2</v>
      </c>
      <c r="AG17" s="1">
        <v>13</v>
      </c>
      <c r="AH17" s="1">
        <v>8</v>
      </c>
      <c r="AI17" s="1">
        <v>62.5</v>
      </c>
      <c r="AJ17" s="1">
        <v>5</v>
      </c>
      <c r="AK17" s="1">
        <v>20</v>
      </c>
      <c r="AL17" s="1">
        <v>5</v>
      </c>
      <c r="AM17" s="1">
        <v>20</v>
      </c>
      <c r="AN17" s="1">
        <v>20</v>
      </c>
      <c r="AO17" s="1">
        <v>20</v>
      </c>
      <c r="AP17">
        <f t="shared" si="1"/>
        <v>15</v>
      </c>
    </row>
    <row r="18" spans="1:42" x14ac:dyDescent="0.35">
      <c r="A18" s="2">
        <v>15</v>
      </c>
      <c r="B18" s="3" t="s">
        <v>15</v>
      </c>
      <c r="C18" s="1">
        <v>3</v>
      </c>
      <c r="D18" s="1">
        <v>2</v>
      </c>
      <c r="E18" s="1">
        <v>2</v>
      </c>
      <c r="F18" s="1">
        <v>2</v>
      </c>
      <c r="G18" s="1">
        <v>3</v>
      </c>
      <c r="H18" s="1">
        <v>1</v>
      </c>
      <c r="I18" s="1">
        <v>6</v>
      </c>
      <c r="J18" s="1">
        <v>2</v>
      </c>
      <c r="K18" s="1">
        <v>5</v>
      </c>
      <c r="L18" s="1">
        <v>6</v>
      </c>
      <c r="M18" s="1">
        <v>2</v>
      </c>
      <c r="N18" s="1">
        <v>4</v>
      </c>
      <c r="O18" s="1">
        <v>5</v>
      </c>
      <c r="P18" s="1">
        <v>1</v>
      </c>
      <c r="Q18" s="1">
        <v>4</v>
      </c>
      <c r="R18">
        <f t="shared" si="0"/>
        <v>3.2</v>
      </c>
      <c r="U18" s="2">
        <v>15</v>
      </c>
      <c r="V18" s="3" t="s">
        <v>15</v>
      </c>
      <c r="W18" s="1">
        <v>2</v>
      </c>
      <c r="X18" s="1">
        <v>2</v>
      </c>
      <c r="Y18" s="1">
        <v>1</v>
      </c>
      <c r="Z18" s="1">
        <v>3</v>
      </c>
      <c r="AA18" s="1">
        <v>2</v>
      </c>
      <c r="AB18" s="1">
        <v>5</v>
      </c>
      <c r="AC18" s="1">
        <v>4</v>
      </c>
      <c r="AD18" s="1">
        <v>1</v>
      </c>
      <c r="AE18" s="1">
        <v>2</v>
      </c>
      <c r="AF18" s="1">
        <v>5</v>
      </c>
      <c r="AG18" s="1">
        <v>11</v>
      </c>
      <c r="AH18" s="1">
        <v>16</v>
      </c>
      <c r="AI18" s="1">
        <v>37.5</v>
      </c>
      <c r="AJ18" s="1">
        <v>5</v>
      </c>
      <c r="AK18" s="1">
        <v>5</v>
      </c>
      <c r="AL18" s="1">
        <v>60</v>
      </c>
      <c r="AM18" s="1">
        <v>40</v>
      </c>
      <c r="AN18" s="1">
        <v>60</v>
      </c>
      <c r="AO18" s="1">
        <v>85</v>
      </c>
      <c r="AP18">
        <f t="shared" si="1"/>
        <v>42.5</v>
      </c>
    </row>
    <row r="19" spans="1:42" x14ac:dyDescent="0.35">
      <c r="A19" s="2">
        <v>16</v>
      </c>
      <c r="B19" s="3" t="s">
        <v>16</v>
      </c>
      <c r="C19" s="1">
        <v>5</v>
      </c>
      <c r="D19" s="1">
        <v>2</v>
      </c>
      <c r="E19" s="1">
        <v>3</v>
      </c>
      <c r="F19" s="1">
        <v>5</v>
      </c>
      <c r="G19" s="1">
        <v>4</v>
      </c>
      <c r="H19" s="1">
        <v>5</v>
      </c>
      <c r="I19" s="1">
        <v>5</v>
      </c>
      <c r="J19" s="1">
        <v>3</v>
      </c>
      <c r="K19" s="1">
        <v>6</v>
      </c>
      <c r="L19" s="1">
        <v>6</v>
      </c>
      <c r="M19" s="1">
        <v>3</v>
      </c>
      <c r="N19" s="1">
        <v>3</v>
      </c>
      <c r="O19" s="1">
        <v>3</v>
      </c>
      <c r="P19" s="1">
        <v>1</v>
      </c>
      <c r="Q19" s="1">
        <v>3</v>
      </c>
      <c r="R19">
        <f t="shared" si="0"/>
        <v>3.8</v>
      </c>
      <c r="U19" s="2">
        <v>16</v>
      </c>
      <c r="V19" s="3" t="s">
        <v>16</v>
      </c>
      <c r="W19" s="1">
        <v>1</v>
      </c>
      <c r="X19" s="1">
        <v>1</v>
      </c>
      <c r="Y19" s="1">
        <v>3</v>
      </c>
      <c r="Z19" s="1">
        <v>1</v>
      </c>
      <c r="AA19" s="1">
        <v>2</v>
      </c>
      <c r="AB19" s="1">
        <v>2</v>
      </c>
      <c r="AC19" s="1">
        <v>1</v>
      </c>
      <c r="AD19" s="1">
        <v>1</v>
      </c>
      <c r="AE19" s="1">
        <v>2</v>
      </c>
      <c r="AF19" s="1">
        <v>2</v>
      </c>
      <c r="AG19" s="1">
        <v>9</v>
      </c>
      <c r="AH19" s="1">
        <v>7</v>
      </c>
      <c r="AI19" s="1">
        <v>55</v>
      </c>
      <c r="AJ19" s="1">
        <v>5</v>
      </c>
      <c r="AK19" s="1">
        <v>20</v>
      </c>
      <c r="AL19" s="1">
        <v>20</v>
      </c>
      <c r="AM19" s="1">
        <v>5</v>
      </c>
      <c r="AN19" s="1">
        <v>85</v>
      </c>
      <c r="AO19" s="1">
        <v>85</v>
      </c>
      <c r="AP19">
        <f t="shared" si="1"/>
        <v>36.666666666666664</v>
      </c>
    </row>
    <row r="20" spans="1:42" x14ac:dyDescent="0.35">
      <c r="A20" s="2">
        <v>17</v>
      </c>
      <c r="B20" s="3" t="s">
        <v>17</v>
      </c>
      <c r="C20" s="1">
        <v>4</v>
      </c>
      <c r="D20" s="1">
        <v>3</v>
      </c>
      <c r="E20" s="1">
        <v>4</v>
      </c>
      <c r="F20" s="1">
        <v>2</v>
      </c>
      <c r="G20" s="1">
        <v>3</v>
      </c>
      <c r="H20" s="1">
        <v>2</v>
      </c>
      <c r="I20" s="1">
        <v>6</v>
      </c>
      <c r="J20" s="1">
        <v>3</v>
      </c>
      <c r="K20" s="1">
        <v>2</v>
      </c>
      <c r="L20" s="1">
        <v>5</v>
      </c>
      <c r="M20" s="1">
        <v>3</v>
      </c>
      <c r="N20" s="1">
        <v>2</v>
      </c>
      <c r="O20" s="1">
        <v>4</v>
      </c>
      <c r="P20" s="1">
        <v>4</v>
      </c>
      <c r="Q20" s="1">
        <v>5</v>
      </c>
      <c r="R20">
        <f t="shared" si="0"/>
        <v>3.4666666666666668</v>
      </c>
      <c r="U20" s="2">
        <v>17</v>
      </c>
      <c r="V20" s="3" t="s">
        <v>17</v>
      </c>
      <c r="W20" s="1">
        <v>2</v>
      </c>
      <c r="X20" s="1">
        <v>1</v>
      </c>
      <c r="Y20" s="1">
        <v>1</v>
      </c>
      <c r="Z20" s="1">
        <v>3</v>
      </c>
      <c r="AA20" s="1">
        <v>2</v>
      </c>
      <c r="AB20" s="1">
        <v>4</v>
      </c>
      <c r="AC20" s="1">
        <v>3</v>
      </c>
      <c r="AD20" s="1">
        <v>5</v>
      </c>
      <c r="AE20" s="1">
        <v>4</v>
      </c>
      <c r="AF20" s="1">
        <v>1</v>
      </c>
      <c r="AG20" s="1">
        <v>12</v>
      </c>
      <c r="AH20" s="1">
        <v>14</v>
      </c>
      <c r="AI20" s="1">
        <v>45</v>
      </c>
      <c r="AJ20" s="1">
        <v>60</v>
      </c>
      <c r="AK20" s="1">
        <v>5</v>
      </c>
      <c r="AL20" s="1">
        <v>20</v>
      </c>
      <c r="AM20" s="1">
        <v>20</v>
      </c>
      <c r="AN20" s="1">
        <v>5</v>
      </c>
      <c r="AO20" s="1">
        <v>60</v>
      </c>
      <c r="AP20">
        <f t="shared" si="1"/>
        <v>28.333333333333332</v>
      </c>
    </row>
    <row r="21" spans="1:42" x14ac:dyDescent="0.35">
      <c r="A21" s="2">
        <v>18</v>
      </c>
      <c r="B21" s="3" t="s">
        <v>18</v>
      </c>
      <c r="C21" s="1">
        <v>5</v>
      </c>
      <c r="D21" s="1">
        <v>4</v>
      </c>
      <c r="E21" s="1">
        <v>2</v>
      </c>
      <c r="F21" s="1">
        <v>2</v>
      </c>
      <c r="G21" s="1">
        <v>5</v>
      </c>
      <c r="H21" s="1">
        <v>2</v>
      </c>
      <c r="I21" s="1">
        <v>7</v>
      </c>
      <c r="J21" s="1">
        <v>4</v>
      </c>
      <c r="K21" s="1">
        <v>1</v>
      </c>
      <c r="L21" s="1">
        <v>2</v>
      </c>
      <c r="M21" s="1">
        <v>3</v>
      </c>
      <c r="N21" s="1">
        <v>3</v>
      </c>
      <c r="O21" s="1">
        <v>4</v>
      </c>
      <c r="P21" s="1">
        <v>4</v>
      </c>
      <c r="Q21" s="1">
        <v>3</v>
      </c>
      <c r="R21">
        <f t="shared" si="0"/>
        <v>3.4</v>
      </c>
      <c r="U21" s="2">
        <f>18</f>
        <v>18</v>
      </c>
      <c r="V21" s="3" t="s">
        <v>18</v>
      </c>
      <c r="W21" s="1">
        <v>1</v>
      </c>
      <c r="X21" s="1">
        <v>2</v>
      </c>
      <c r="Y21" s="1">
        <v>1</v>
      </c>
      <c r="Z21" s="1">
        <v>2</v>
      </c>
      <c r="AA21" s="1">
        <v>2</v>
      </c>
      <c r="AB21" s="1">
        <v>3</v>
      </c>
      <c r="AC21" s="1">
        <v>4</v>
      </c>
      <c r="AD21" s="1">
        <v>3</v>
      </c>
      <c r="AE21" s="1">
        <v>4</v>
      </c>
      <c r="AF21" s="1">
        <v>4</v>
      </c>
      <c r="AG21" s="1">
        <v>12</v>
      </c>
      <c r="AH21" s="1">
        <v>14</v>
      </c>
      <c r="AI21" s="1">
        <v>45</v>
      </c>
      <c r="AJ21" s="1">
        <v>20</v>
      </c>
      <c r="AK21" s="1">
        <v>5</v>
      </c>
      <c r="AL21" s="1">
        <v>20</v>
      </c>
      <c r="AM21" s="1">
        <v>20</v>
      </c>
      <c r="AN21" s="1">
        <v>40</v>
      </c>
      <c r="AO21" s="1">
        <v>20</v>
      </c>
      <c r="AP21">
        <f t="shared" si="1"/>
        <v>20.833333333333332</v>
      </c>
    </row>
    <row r="22" spans="1:42" x14ac:dyDescent="0.35">
      <c r="A22" s="2">
        <v>19</v>
      </c>
      <c r="B22" s="3" t="s">
        <v>19</v>
      </c>
      <c r="C22" s="1">
        <v>2</v>
      </c>
      <c r="D22" s="1">
        <v>2</v>
      </c>
      <c r="E22" s="1">
        <v>3</v>
      </c>
      <c r="F22" s="1">
        <v>3</v>
      </c>
      <c r="G22" s="1">
        <v>3</v>
      </c>
      <c r="H22" s="1">
        <v>7</v>
      </c>
      <c r="I22" s="1">
        <v>4</v>
      </c>
      <c r="J22" s="1">
        <v>3</v>
      </c>
      <c r="K22" s="1">
        <v>2</v>
      </c>
      <c r="L22" s="1">
        <v>3</v>
      </c>
      <c r="M22" s="1">
        <v>5</v>
      </c>
      <c r="N22" s="1">
        <v>4</v>
      </c>
      <c r="O22" s="1">
        <v>2</v>
      </c>
      <c r="P22" s="1">
        <v>5</v>
      </c>
      <c r="Q22" s="1">
        <v>4</v>
      </c>
      <c r="R22">
        <f t="shared" si="0"/>
        <v>3.4666666666666668</v>
      </c>
      <c r="U22" s="2">
        <v>19</v>
      </c>
      <c r="V22" s="3" t="s">
        <v>19</v>
      </c>
      <c r="W22" s="1">
        <v>2</v>
      </c>
      <c r="X22" s="1">
        <v>1</v>
      </c>
      <c r="Y22" s="1">
        <v>3</v>
      </c>
      <c r="Z22" s="1">
        <v>2</v>
      </c>
      <c r="AA22" s="1">
        <v>3</v>
      </c>
      <c r="AB22" s="1">
        <v>2</v>
      </c>
      <c r="AC22" s="1">
        <v>3</v>
      </c>
      <c r="AD22" s="1">
        <v>1</v>
      </c>
      <c r="AE22" s="1">
        <v>3</v>
      </c>
      <c r="AF22" s="1">
        <v>2</v>
      </c>
      <c r="AG22" s="1">
        <v>14</v>
      </c>
      <c r="AH22" s="1">
        <v>8</v>
      </c>
      <c r="AI22" s="1">
        <v>65</v>
      </c>
      <c r="AJ22" s="1">
        <v>20</v>
      </c>
      <c r="AK22" s="1">
        <v>20</v>
      </c>
      <c r="AL22" s="1">
        <v>5</v>
      </c>
      <c r="AM22" s="1">
        <v>40</v>
      </c>
      <c r="AN22" s="1">
        <v>40</v>
      </c>
      <c r="AO22" s="1">
        <v>20</v>
      </c>
      <c r="AP22">
        <f t="shared" si="1"/>
        <v>24.166666666666668</v>
      </c>
    </row>
    <row r="23" spans="1:42" x14ac:dyDescent="0.35">
      <c r="A23" s="2">
        <v>20</v>
      </c>
      <c r="B23" s="3" t="s">
        <v>20</v>
      </c>
      <c r="C23" s="1">
        <v>1</v>
      </c>
      <c r="D23" s="1">
        <v>3</v>
      </c>
      <c r="E23" s="1">
        <v>3</v>
      </c>
      <c r="F23" s="1">
        <v>3</v>
      </c>
      <c r="G23" s="1">
        <v>4</v>
      </c>
      <c r="H23" s="1">
        <v>3</v>
      </c>
      <c r="I23" s="1">
        <v>4</v>
      </c>
      <c r="J23" s="1">
        <v>5</v>
      </c>
      <c r="K23" s="1">
        <v>4</v>
      </c>
      <c r="L23" s="1">
        <v>3</v>
      </c>
      <c r="M23" s="1">
        <v>2</v>
      </c>
      <c r="N23" s="1">
        <v>2</v>
      </c>
      <c r="O23" s="1">
        <v>5</v>
      </c>
      <c r="P23" s="1">
        <v>6</v>
      </c>
      <c r="Q23" s="1">
        <v>4</v>
      </c>
      <c r="R23">
        <f t="shared" si="0"/>
        <v>3.4666666666666668</v>
      </c>
      <c r="U23" s="2">
        <v>20</v>
      </c>
      <c r="V23" s="3" t="s">
        <v>20</v>
      </c>
      <c r="W23" s="1">
        <v>1</v>
      </c>
      <c r="X23" s="1">
        <v>2</v>
      </c>
      <c r="Y23" s="1">
        <v>1</v>
      </c>
      <c r="Z23" s="1">
        <v>3</v>
      </c>
      <c r="AA23" s="1">
        <v>4</v>
      </c>
      <c r="AB23" s="1">
        <v>3</v>
      </c>
      <c r="AC23" s="1">
        <v>3</v>
      </c>
      <c r="AD23" s="1">
        <v>4</v>
      </c>
      <c r="AE23" s="1">
        <v>3</v>
      </c>
      <c r="AF23" s="1">
        <v>2</v>
      </c>
      <c r="AG23" s="1">
        <v>12</v>
      </c>
      <c r="AH23" s="1">
        <v>14</v>
      </c>
      <c r="AI23" s="1">
        <v>45</v>
      </c>
      <c r="AJ23" s="1">
        <v>20</v>
      </c>
      <c r="AK23" s="1">
        <v>20</v>
      </c>
      <c r="AL23" s="1">
        <v>5</v>
      </c>
      <c r="AM23" s="1">
        <v>40</v>
      </c>
      <c r="AN23" s="1">
        <v>20</v>
      </c>
      <c r="AO23" s="1">
        <v>40</v>
      </c>
      <c r="AP23">
        <f t="shared" si="1"/>
        <v>24.166666666666668</v>
      </c>
    </row>
    <row r="24" spans="1:42" x14ac:dyDescent="0.35">
      <c r="A24" s="2">
        <v>21</v>
      </c>
      <c r="B24" s="3" t="s">
        <v>21</v>
      </c>
      <c r="C24" s="1">
        <v>5</v>
      </c>
      <c r="D24" s="1">
        <v>3</v>
      </c>
      <c r="E24" s="1">
        <v>3</v>
      </c>
      <c r="F24" s="1">
        <v>4</v>
      </c>
      <c r="G24" s="1">
        <v>4</v>
      </c>
      <c r="H24" s="1">
        <v>2</v>
      </c>
      <c r="I24" s="1">
        <v>3</v>
      </c>
      <c r="J24" s="1">
        <v>3</v>
      </c>
      <c r="K24" s="1">
        <v>3</v>
      </c>
      <c r="L24" s="1">
        <v>5</v>
      </c>
      <c r="M24" s="1">
        <v>2</v>
      </c>
      <c r="N24" s="1">
        <v>4</v>
      </c>
      <c r="O24" s="1">
        <v>1</v>
      </c>
      <c r="P24" s="1">
        <v>2</v>
      </c>
      <c r="Q24" s="1">
        <v>3</v>
      </c>
      <c r="R24">
        <f t="shared" si="0"/>
        <v>3.1333333333333333</v>
      </c>
      <c r="U24" s="2">
        <v>21</v>
      </c>
      <c r="V24" s="3" t="s">
        <v>21</v>
      </c>
      <c r="W24" s="1">
        <v>3</v>
      </c>
      <c r="X24" s="1">
        <v>3</v>
      </c>
      <c r="Y24" s="1">
        <v>3</v>
      </c>
      <c r="Z24" s="1">
        <v>2</v>
      </c>
      <c r="AA24" s="1">
        <v>3</v>
      </c>
      <c r="AB24" s="1">
        <v>4</v>
      </c>
      <c r="AC24" s="1">
        <v>4</v>
      </c>
      <c r="AD24" s="1">
        <v>4</v>
      </c>
      <c r="AE24" s="1">
        <v>4</v>
      </c>
      <c r="AF24" s="1">
        <v>4</v>
      </c>
      <c r="AG24" s="1">
        <v>17</v>
      </c>
      <c r="AH24" s="1">
        <v>17</v>
      </c>
      <c r="AI24" s="1">
        <v>50</v>
      </c>
      <c r="AJ24" s="1">
        <v>40</v>
      </c>
      <c r="AK24" s="1">
        <v>20</v>
      </c>
      <c r="AL24" s="1">
        <v>40</v>
      </c>
      <c r="AM24" s="1">
        <v>40</v>
      </c>
      <c r="AN24" s="1">
        <v>60</v>
      </c>
      <c r="AO24" s="1">
        <v>60</v>
      </c>
      <c r="AP24">
        <f t="shared" si="1"/>
        <v>43.333333333333336</v>
      </c>
    </row>
    <row r="25" spans="1:42" x14ac:dyDescent="0.35">
      <c r="A25" s="2">
        <v>22</v>
      </c>
      <c r="B25" s="3" t="s">
        <v>22</v>
      </c>
      <c r="C25" s="1">
        <v>2</v>
      </c>
      <c r="D25" s="1">
        <v>3</v>
      </c>
      <c r="E25" s="1">
        <v>2</v>
      </c>
      <c r="F25" s="1">
        <v>3</v>
      </c>
      <c r="G25" s="1">
        <v>3</v>
      </c>
      <c r="H25" s="1">
        <v>3</v>
      </c>
      <c r="I25" s="1">
        <v>2</v>
      </c>
      <c r="J25" s="1">
        <v>4</v>
      </c>
      <c r="K25" s="1">
        <v>4</v>
      </c>
      <c r="L25" s="1">
        <v>1</v>
      </c>
      <c r="M25" s="1">
        <v>3</v>
      </c>
      <c r="N25" s="1">
        <v>2</v>
      </c>
      <c r="O25" s="1">
        <v>1</v>
      </c>
      <c r="P25" s="1">
        <v>1</v>
      </c>
      <c r="Q25" s="1">
        <v>3</v>
      </c>
      <c r="R25">
        <f t="shared" si="0"/>
        <v>2.4666666666666668</v>
      </c>
      <c r="U25" s="2">
        <v>22</v>
      </c>
      <c r="V25" s="3" t="s">
        <v>22</v>
      </c>
      <c r="W25" s="1">
        <v>1</v>
      </c>
      <c r="X25" s="1">
        <v>2</v>
      </c>
      <c r="Y25" s="1">
        <v>1</v>
      </c>
      <c r="Z25" s="1">
        <v>3</v>
      </c>
      <c r="AA25" s="1">
        <v>3</v>
      </c>
      <c r="AB25" s="1">
        <v>4</v>
      </c>
      <c r="AC25" s="1">
        <v>2</v>
      </c>
      <c r="AD25" s="1">
        <v>2</v>
      </c>
      <c r="AE25" s="1">
        <v>3</v>
      </c>
      <c r="AF25" s="1">
        <v>4</v>
      </c>
      <c r="AG25" s="1">
        <v>10</v>
      </c>
      <c r="AH25" s="1">
        <v>15</v>
      </c>
      <c r="AI25" s="1">
        <v>37.5</v>
      </c>
      <c r="AJ25" s="1">
        <v>20</v>
      </c>
      <c r="AK25" s="1">
        <v>20</v>
      </c>
      <c r="AL25" s="1">
        <v>40</v>
      </c>
      <c r="AM25" s="1">
        <v>5</v>
      </c>
      <c r="AN25" s="1">
        <v>40</v>
      </c>
      <c r="AO25" s="1">
        <v>60</v>
      </c>
      <c r="AP25">
        <f t="shared" si="1"/>
        <v>30.833333333333332</v>
      </c>
    </row>
    <row r="26" spans="1:42" x14ac:dyDescent="0.35">
      <c r="A26" s="2">
        <v>23</v>
      </c>
      <c r="B26" s="3" t="s">
        <v>23</v>
      </c>
      <c r="C26" s="1">
        <v>2</v>
      </c>
      <c r="D26" s="1">
        <v>2</v>
      </c>
      <c r="E26" s="1">
        <v>2</v>
      </c>
      <c r="F26" s="1">
        <v>5</v>
      </c>
      <c r="G26" s="1">
        <v>3</v>
      </c>
      <c r="H26" s="1">
        <v>5</v>
      </c>
      <c r="I26" s="1">
        <v>3</v>
      </c>
      <c r="J26" s="1">
        <v>4</v>
      </c>
      <c r="K26" s="1">
        <v>5</v>
      </c>
      <c r="L26" s="1">
        <v>1</v>
      </c>
      <c r="M26" s="1">
        <v>3</v>
      </c>
      <c r="N26" s="1">
        <v>3</v>
      </c>
      <c r="O26" s="1">
        <v>4</v>
      </c>
      <c r="P26" s="1">
        <v>2</v>
      </c>
      <c r="Q26" s="1">
        <v>3</v>
      </c>
      <c r="R26">
        <f t="shared" si="0"/>
        <v>3.1333333333333333</v>
      </c>
      <c r="U26" s="2">
        <v>23</v>
      </c>
      <c r="V26" s="3" t="s">
        <v>23</v>
      </c>
      <c r="W26" s="1">
        <v>2</v>
      </c>
      <c r="X26" s="1">
        <v>1</v>
      </c>
      <c r="Y26" s="1">
        <v>4</v>
      </c>
      <c r="Z26" s="1">
        <v>1</v>
      </c>
      <c r="AA26" s="1">
        <v>3</v>
      </c>
      <c r="AB26" s="1">
        <v>2</v>
      </c>
      <c r="AC26" s="1">
        <v>2</v>
      </c>
      <c r="AD26" s="1">
        <v>4</v>
      </c>
      <c r="AE26" s="1">
        <v>2</v>
      </c>
      <c r="AF26" s="1">
        <v>4</v>
      </c>
      <c r="AG26" s="1">
        <v>13</v>
      </c>
      <c r="AH26" s="1">
        <v>12</v>
      </c>
      <c r="AI26" s="1">
        <v>52.5</v>
      </c>
      <c r="AJ26" s="1">
        <v>20</v>
      </c>
      <c r="AK26" s="1">
        <v>20</v>
      </c>
      <c r="AL26" s="1">
        <v>40</v>
      </c>
      <c r="AM26" s="1">
        <v>20</v>
      </c>
      <c r="AN26" s="1">
        <v>40</v>
      </c>
      <c r="AO26" s="1">
        <v>40</v>
      </c>
      <c r="AP26">
        <f t="shared" si="1"/>
        <v>30</v>
      </c>
    </row>
    <row r="27" spans="1:42" x14ac:dyDescent="0.35">
      <c r="A27" s="2">
        <v>24</v>
      </c>
      <c r="B27" s="3" t="s">
        <v>24</v>
      </c>
      <c r="C27" s="1">
        <v>1</v>
      </c>
      <c r="D27" s="1">
        <v>2</v>
      </c>
      <c r="E27" s="1">
        <v>3</v>
      </c>
      <c r="F27" s="1">
        <v>3</v>
      </c>
      <c r="G27" s="1">
        <v>3</v>
      </c>
      <c r="H27" s="1">
        <v>6</v>
      </c>
      <c r="I27" s="1">
        <v>4</v>
      </c>
      <c r="J27" s="1">
        <v>2</v>
      </c>
      <c r="K27" s="1">
        <v>6</v>
      </c>
      <c r="L27" s="1">
        <v>2</v>
      </c>
      <c r="M27" s="1">
        <v>4</v>
      </c>
      <c r="N27" s="1">
        <v>3</v>
      </c>
      <c r="O27" s="1">
        <v>4</v>
      </c>
      <c r="P27" s="1">
        <v>4</v>
      </c>
      <c r="Q27" s="1">
        <v>5</v>
      </c>
      <c r="R27">
        <f t="shared" si="0"/>
        <v>3.4666666666666668</v>
      </c>
      <c r="U27" s="2">
        <v>24</v>
      </c>
      <c r="V27" s="3" t="s">
        <v>24</v>
      </c>
      <c r="W27" s="1">
        <v>1</v>
      </c>
      <c r="X27" s="1">
        <v>3</v>
      </c>
      <c r="Y27" s="1">
        <v>2</v>
      </c>
      <c r="Z27" s="1">
        <v>3</v>
      </c>
      <c r="AA27" s="1">
        <v>2</v>
      </c>
      <c r="AB27" s="1">
        <v>1</v>
      </c>
      <c r="AC27" s="1">
        <v>1</v>
      </c>
      <c r="AD27" s="1">
        <v>4</v>
      </c>
      <c r="AE27" s="1">
        <v>5</v>
      </c>
      <c r="AF27" s="1">
        <v>5</v>
      </c>
      <c r="AG27" s="1">
        <v>11</v>
      </c>
      <c r="AH27" s="1">
        <v>16</v>
      </c>
      <c r="AI27" s="1">
        <v>37.5</v>
      </c>
      <c r="AJ27" s="1">
        <v>20</v>
      </c>
      <c r="AK27" s="1">
        <v>20</v>
      </c>
      <c r="AL27" s="1">
        <v>5</v>
      </c>
      <c r="AM27" s="1">
        <v>60</v>
      </c>
      <c r="AN27" s="1">
        <v>40</v>
      </c>
      <c r="AO27" s="1">
        <v>40</v>
      </c>
      <c r="AP27">
        <f t="shared" si="1"/>
        <v>30.833333333333332</v>
      </c>
    </row>
    <row r="28" spans="1:42" x14ac:dyDescent="0.35">
      <c r="A28" s="2">
        <v>25</v>
      </c>
      <c r="B28" s="3" t="s">
        <v>25</v>
      </c>
      <c r="C28" s="1">
        <v>3</v>
      </c>
      <c r="D28" s="1">
        <v>3</v>
      </c>
      <c r="E28" s="1">
        <v>4</v>
      </c>
      <c r="F28" s="1">
        <v>4</v>
      </c>
      <c r="G28" s="1">
        <v>5</v>
      </c>
      <c r="H28" s="1">
        <v>4</v>
      </c>
      <c r="I28" s="1">
        <v>3</v>
      </c>
      <c r="J28" s="1">
        <v>5</v>
      </c>
      <c r="K28" s="1">
        <v>2</v>
      </c>
      <c r="L28" s="1">
        <v>5</v>
      </c>
      <c r="M28" s="1">
        <v>3</v>
      </c>
      <c r="N28" s="1">
        <v>3</v>
      </c>
      <c r="O28" s="1">
        <v>5</v>
      </c>
      <c r="P28" s="1">
        <v>3</v>
      </c>
      <c r="Q28" s="1">
        <v>5</v>
      </c>
      <c r="R28">
        <f t="shared" si="0"/>
        <v>3.8</v>
      </c>
      <c r="U28" s="2">
        <v>25</v>
      </c>
      <c r="V28" s="3" t="s">
        <v>25</v>
      </c>
      <c r="W28" s="1">
        <v>3</v>
      </c>
      <c r="X28" s="1">
        <v>2</v>
      </c>
      <c r="Y28" s="1">
        <v>3</v>
      </c>
      <c r="Z28" s="1">
        <v>3</v>
      </c>
      <c r="AA28" s="1">
        <v>3</v>
      </c>
      <c r="AB28" s="1">
        <v>2</v>
      </c>
      <c r="AC28" s="1">
        <v>3</v>
      </c>
      <c r="AD28" s="1">
        <v>3</v>
      </c>
      <c r="AE28" s="1">
        <v>3</v>
      </c>
      <c r="AF28" s="1">
        <v>2</v>
      </c>
      <c r="AG28" s="1">
        <v>15</v>
      </c>
      <c r="AH28" s="1">
        <v>12</v>
      </c>
      <c r="AI28" s="1">
        <v>57.5</v>
      </c>
      <c r="AJ28" s="1">
        <v>20</v>
      </c>
      <c r="AK28" s="1">
        <v>40</v>
      </c>
      <c r="AL28" s="1">
        <v>40</v>
      </c>
      <c r="AM28" s="1">
        <v>40</v>
      </c>
      <c r="AN28" s="1">
        <v>20</v>
      </c>
      <c r="AO28" s="1">
        <v>60</v>
      </c>
      <c r="AP28">
        <f t="shared" si="1"/>
        <v>36.666666666666664</v>
      </c>
    </row>
    <row r="29" spans="1:42" x14ac:dyDescent="0.35">
      <c r="A29" s="2">
        <v>26</v>
      </c>
      <c r="B29" s="3" t="s">
        <v>26</v>
      </c>
      <c r="C29" s="1">
        <v>2</v>
      </c>
      <c r="D29" s="1">
        <v>4</v>
      </c>
      <c r="E29" s="1">
        <v>2</v>
      </c>
      <c r="F29" s="1">
        <v>4</v>
      </c>
      <c r="G29" s="1">
        <v>5</v>
      </c>
      <c r="H29" s="1">
        <v>5</v>
      </c>
      <c r="I29" s="1">
        <v>4</v>
      </c>
      <c r="J29" s="1">
        <v>1</v>
      </c>
      <c r="K29" s="1">
        <v>1</v>
      </c>
      <c r="L29" s="1">
        <v>2</v>
      </c>
      <c r="M29" s="1">
        <v>5</v>
      </c>
      <c r="N29" s="1">
        <v>5</v>
      </c>
      <c r="O29" s="1">
        <v>6</v>
      </c>
      <c r="P29" s="1">
        <v>7</v>
      </c>
      <c r="Q29" s="1">
        <v>3</v>
      </c>
      <c r="R29">
        <f t="shared" si="0"/>
        <v>3.7333333333333334</v>
      </c>
      <c r="U29" s="2">
        <v>26</v>
      </c>
      <c r="V29" s="3" t="s">
        <v>26</v>
      </c>
      <c r="W29" s="1">
        <v>2</v>
      </c>
      <c r="X29" s="1">
        <v>1</v>
      </c>
      <c r="Y29" s="1">
        <v>3</v>
      </c>
      <c r="Z29" s="6">
        <v>1</v>
      </c>
      <c r="AA29" s="1">
        <v>3</v>
      </c>
      <c r="AB29" s="1">
        <v>2</v>
      </c>
      <c r="AC29" s="1">
        <v>5</v>
      </c>
      <c r="AD29" s="1">
        <v>1</v>
      </c>
      <c r="AE29" s="1">
        <v>3</v>
      </c>
      <c r="AF29" s="1">
        <v>4</v>
      </c>
      <c r="AG29" s="1">
        <v>16</v>
      </c>
      <c r="AH29" s="1">
        <v>9</v>
      </c>
      <c r="AI29" s="1">
        <v>67.5</v>
      </c>
      <c r="AJ29" s="1">
        <v>5</v>
      </c>
      <c r="AK29" s="1">
        <v>20</v>
      </c>
      <c r="AL29" s="1">
        <v>40</v>
      </c>
      <c r="AM29" s="1">
        <v>20</v>
      </c>
      <c r="AN29" s="1">
        <v>40</v>
      </c>
      <c r="AO29" s="1">
        <v>20</v>
      </c>
      <c r="AP29">
        <f t="shared" si="1"/>
        <v>24.166666666666668</v>
      </c>
    </row>
    <row r="30" spans="1:42" x14ac:dyDescent="0.35">
      <c r="A30" s="2">
        <v>27</v>
      </c>
      <c r="B30" s="3" t="s">
        <v>27</v>
      </c>
      <c r="C30" s="1">
        <v>3</v>
      </c>
      <c r="D30" s="1">
        <v>2</v>
      </c>
      <c r="E30" s="1">
        <v>2</v>
      </c>
      <c r="F30" s="1">
        <v>3</v>
      </c>
      <c r="G30" s="1">
        <v>3</v>
      </c>
      <c r="H30" s="1">
        <v>1</v>
      </c>
      <c r="I30" s="1">
        <v>4</v>
      </c>
      <c r="J30" s="1">
        <v>1</v>
      </c>
      <c r="K30" s="1">
        <v>2</v>
      </c>
      <c r="L30" s="1">
        <v>2</v>
      </c>
      <c r="M30" s="1">
        <v>3</v>
      </c>
      <c r="N30" s="1">
        <v>2</v>
      </c>
      <c r="O30" s="1">
        <v>2</v>
      </c>
      <c r="P30" s="1">
        <v>4</v>
      </c>
      <c r="Q30" s="1">
        <v>3</v>
      </c>
      <c r="R30">
        <f t="shared" si="0"/>
        <v>2.4666666666666668</v>
      </c>
      <c r="U30" s="2">
        <v>27</v>
      </c>
      <c r="V30" s="3" t="s">
        <v>27</v>
      </c>
      <c r="W30" s="1">
        <v>1</v>
      </c>
      <c r="X30" s="1">
        <v>1</v>
      </c>
      <c r="Y30" s="1">
        <v>2</v>
      </c>
      <c r="Z30" s="1">
        <v>2</v>
      </c>
      <c r="AA30" s="1">
        <v>3</v>
      </c>
      <c r="AB30" s="1">
        <v>3</v>
      </c>
      <c r="AC30" s="1">
        <v>2</v>
      </c>
      <c r="AD30" s="1">
        <v>2</v>
      </c>
      <c r="AE30" s="1">
        <v>3</v>
      </c>
      <c r="AF30" s="1">
        <v>4</v>
      </c>
      <c r="AG30" s="1">
        <v>11</v>
      </c>
      <c r="AH30" s="1">
        <v>12</v>
      </c>
      <c r="AI30" s="1">
        <v>47.5</v>
      </c>
      <c r="AJ30" s="1">
        <v>20</v>
      </c>
      <c r="AK30" s="1">
        <v>20</v>
      </c>
      <c r="AL30" s="1">
        <v>85</v>
      </c>
      <c r="AM30" s="1">
        <v>40</v>
      </c>
      <c r="AN30" s="1">
        <v>20</v>
      </c>
      <c r="AO30" s="1">
        <v>40</v>
      </c>
      <c r="AP30">
        <f t="shared" si="1"/>
        <v>37.5</v>
      </c>
    </row>
    <row r="31" spans="1:42" x14ac:dyDescent="0.35">
      <c r="A31" s="2">
        <v>28</v>
      </c>
      <c r="B31" s="3" t="s">
        <v>28</v>
      </c>
      <c r="C31" s="1">
        <v>1</v>
      </c>
      <c r="D31" s="1">
        <v>2</v>
      </c>
      <c r="E31" s="1">
        <v>3</v>
      </c>
      <c r="F31" s="1">
        <v>3</v>
      </c>
      <c r="G31" s="1">
        <v>3</v>
      </c>
      <c r="H31" s="1">
        <v>1</v>
      </c>
      <c r="I31" s="1">
        <v>7</v>
      </c>
      <c r="J31" s="1">
        <v>4</v>
      </c>
      <c r="K31" s="1">
        <v>4</v>
      </c>
      <c r="L31" s="1">
        <v>3</v>
      </c>
      <c r="M31" s="1">
        <v>4</v>
      </c>
      <c r="N31" s="1">
        <v>2</v>
      </c>
      <c r="O31" s="1">
        <v>1</v>
      </c>
      <c r="P31" s="1">
        <v>3</v>
      </c>
      <c r="Q31" s="1">
        <v>5</v>
      </c>
      <c r="R31">
        <f t="shared" si="0"/>
        <v>3.0666666666666669</v>
      </c>
      <c r="U31" s="2">
        <v>28</v>
      </c>
      <c r="V31" s="3" t="s">
        <v>28</v>
      </c>
      <c r="W31" s="1">
        <v>3</v>
      </c>
      <c r="X31" s="1">
        <v>2</v>
      </c>
      <c r="Y31" s="1">
        <v>1</v>
      </c>
      <c r="Z31" s="1">
        <v>1</v>
      </c>
      <c r="AA31" s="1">
        <v>2</v>
      </c>
      <c r="AB31" s="1">
        <v>1</v>
      </c>
      <c r="AC31" s="1">
        <v>2</v>
      </c>
      <c r="AD31" s="1">
        <v>4</v>
      </c>
      <c r="AE31" s="1">
        <v>3</v>
      </c>
      <c r="AF31" s="1">
        <v>3</v>
      </c>
      <c r="AG31" s="1">
        <v>11</v>
      </c>
      <c r="AH31" s="1">
        <v>11</v>
      </c>
      <c r="AI31" s="1">
        <v>50</v>
      </c>
      <c r="AJ31" s="1">
        <v>60</v>
      </c>
      <c r="AK31" s="1">
        <v>20</v>
      </c>
      <c r="AL31" s="1">
        <v>40</v>
      </c>
      <c r="AM31" s="1">
        <v>20</v>
      </c>
      <c r="AN31" s="1">
        <v>20</v>
      </c>
      <c r="AO31" s="1">
        <v>40</v>
      </c>
      <c r="AP31">
        <f t="shared" si="1"/>
        <v>33.333333333333336</v>
      </c>
    </row>
    <row r="32" spans="1:42" x14ac:dyDescent="0.35">
      <c r="A32" s="2">
        <v>29</v>
      </c>
      <c r="B32" s="3" t="s">
        <v>29</v>
      </c>
      <c r="C32" s="1">
        <v>2</v>
      </c>
      <c r="D32" s="1">
        <v>3</v>
      </c>
      <c r="E32" s="1">
        <v>4</v>
      </c>
      <c r="F32" s="1">
        <v>3</v>
      </c>
      <c r="G32" s="1">
        <v>4</v>
      </c>
      <c r="H32" s="1">
        <v>4</v>
      </c>
      <c r="I32" s="1">
        <v>4</v>
      </c>
      <c r="J32" s="1">
        <v>4</v>
      </c>
      <c r="K32" s="1">
        <v>3</v>
      </c>
      <c r="L32" s="1">
        <v>3</v>
      </c>
      <c r="M32" s="1">
        <v>4</v>
      </c>
      <c r="N32" s="1">
        <v>3</v>
      </c>
      <c r="O32" s="1">
        <v>2</v>
      </c>
      <c r="P32" s="1">
        <v>5</v>
      </c>
      <c r="Q32" s="1">
        <v>5</v>
      </c>
      <c r="R32">
        <f t="shared" si="0"/>
        <v>3.5333333333333332</v>
      </c>
      <c r="U32" s="2">
        <v>29</v>
      </c>
      <c r="V32" s="3" t="s">
        <v>29</v>
      </c>
      <c r="W32" s="1">
        <v>1</v>
      </c>
      <c r="X32" s="1">
        <v>2</v>
      </c>
      <c r="Y32" s="1">
        <v>2</v>
      </c>
      <c r="Z32" s="1">
        <v>1</v>
      </c>
      <c r="AA32" s="1">
        <v>3</v>
      </c>
      <c r="AB32" s="1">
        <v>2</v>
      </c>
      <c r="AC32" s="1">
        <v>3</v>
      </c>
      <c r="AD32" s="1">
        <v>2</v>
      </c>
      <c r="AE32" s="1">
        <v>2</v>
      </c>
      <c r="AF32" s="1">
        <v>3</v>
      </c>
      <c r="AG32" s="1">
        <v>11</v>
      </c>
      <c r="AH32" s="1">
        <v>10</v>
      </c>
      <c r="AI32" s="1">
        <v>52.5</v>
      </c>
      <c r="AJ32" s="1">
        <v>20</v>
      </c>
      <c r="AK32" s="1">
        <v>20</v>
      </c>
      <c r="AL32" s="1">
        <v>40</v>
      </c>
      <c r="AM32" s="1">
        <v>40</v>
      </c>
      <c r="AN32" s="1">
        <v>20</v>
      </c>
      <c r="AO32" s="1">
        <v>40</v>
      </c>
      <c r="AP32">
        <f t="shared" si="1"/>
        <v>30</v>
      </c>
    </row>
    <row r="33" spans="1:42" x14ac:dyDescent="0.35">
      <c r="A33" s="2">
        <v>30</v>
      </c>
      <c r="B33" s="3" t="s">
        <v>30</v>
      </c>
      <c r="C33" s="1">
        <v>3</v>
      </c>
      <c r="D33" s="1">
        <v>4</v>
      </c>
      <c r="E33" s="1">
        <v>4</v>
      </c>
      <c r="F33" s="1">
        <v>5</v>
      </c>
      <c r="G33" s="1">
        <v>3</v>
      </c>
      <c r="H33" s="1">
        <v>4</v>
      </c>
      <c r="I33" s="1">
        <v>3</v>
      </c>
      <c r="J33" s="1">
        <v>5</v>
      </c>
      <c r="K33" s="1">
        <v>4</v>
      </c>
      <c r="L33" s="1">
        <v>4</v>
      </c>
      <c r="M33" s="1">
        <v>3</v>
      </c>
      <c r="N33" s="1">
        <v>3</v>
      </c>
      <c r="O33" s="1">
        <v>4</v>
      </c>
      <c r="P33" s="1">
        <v>3</v>
      </c>
      <c r="Q33" s="1">
        <v>3</v>
      </c>
      <c r="R33">
        <f t="shared" si="0"/>
        <v>3.6666666666666665</v>
      </c>
      <c r="U33" s="2">
        <v>30</v>
      </c>
      <c r="V33" s="3" t="s">
        <v>30</v>
      </c>
      <c r="W33" s="1">
        <v>2</v>
      </c>
      <c r="X33" s="1">
        <v>4</v>
      </c>
      <c r="Y33" s="1">
        <v>1</v>
      </c>
      <c r="Z33" s="1">
        <v>2</v>
      </c>
      <c r="AA33" s="1">
        <v>3</v>
      </c>
      <c r="AB33" s="1">
        <v>2</v>
      </c>
      <c r="AC33" s="1">
        <v>2</v>
      </c>
      <c r="AD33" s="1">
        <v>3</v>
      </c>
      <c r="AE33" s="1">
        <v>2</v>
      </c>
      <c r="AF33" s="1">
        <v>2</v>
      </c>
      <c r="AG33" s="1">
        <v>10</v>
      </c>
      <c r="AH33" s="1">
        <v>13</v>
      </c>
      <c r="AI33" s="1">
        <v>42.5</v>
      </c>
      <c r="AJ33" s="1">
        <v>5</v>
      </c>
      <c r="AK33" s="1">
        <v>5</v>
      </c>
      <c r="AL33" s="1">
        <v>40</v>
      </c>
      <c r="AM33" s="1">
        <v>40</v>
      </c>
      <c r="AN33" s="1">
        <v>40</v>
      </c>
      <c r="AO33" s="1">
        <v>20</v>
      </c>
      <c r="AP33">
        <f t="shared" si="1"/>
        <v>25</v>
      </c>
    </row>
    <row r="34" spans="1:42" x14ac:dyDescent="0.35">
      <c r="A34" s="2">
        <v>31</v>
      </c>
      <c r="B34" s="3" t="s">
        <v>31</v>
      </c>
      <c r="C34" s="1">
        <v>6</v>
      </c>
      <c r="D34" s="1">
        <v>4</v>
      </c>
      <c r="E34" s="1">
        <v>3</v>
      </c>
      <c r="F34" s="1">
        <v>5</v>
      </c>
      <c r="G34" s="1">
        <v>4</v>
      </c>
      <c r="H34" s="1">
        <v>5</v>
      </c>
      <c r="I34" s="1">
        <v>5</v>
      </c>
      <c r="J34" s="1">
        <v>6</v>
      </c>
      <c r="K34" s="1">
        <v>4</v>
      </c>
      <c r="L34" s="1">
        <v>3</v>
      </c>
      <c r="M34" s="1">
        <v>3</v>
      </c>
      <c r="N34" s="1">
        <v>4</v>
      </c>
      <c r="O34" s="1">
        <v>3</v>
      </c>
      <c r="P34" s="1">
        <v>4</v>
      </c>
      <c r="Q34" s="1">
        <v>4</v>
      </c>
      <c r="R34">
        <f t="shared" si="0"/>
        <v>4.2</v>
      </c>
      <c r="U34" s="2">
        <v>31</v>
      </c>
      <c r="V34" s="3" t="s">
        <v>31</v>
      </c>
      <c r="W34" s="1">
        <v>1</v>
      </c>
      <c r="X34" s="1">
        <v>3</v>
      </c>
      <c r="Y34" s="1">
        <v>3</v>
      </c>
      <c r="Z34" s="1">
        <v>2</v>
      </c>
      <c r="AA34" s="1">
        <v>4</v>
      </c>
      <c r="AB34" s="1">
        <v>1</v>
      </c>
      <c r="AC34" s="1">
        <v>3</v>
      </c>
      <c r="AD34" s="1">
        <v>2</v>
      </c>
      <c r="AE34" s="1">
        <v>4</v>
      </c>
      <c r="AF34" s="1">
        <v>3</v>
      </c>
      <c r="AG34" s="1">
        <v>15</v>
      </c>
      <c r="AH34" s="1">
        <v>11</v>
      </c>
      <c r="AI34" s="1">
        <v>60</v>
      </c>
      <c r="AJ34" s="1">
        <v>5</v>
      </c>
      <c r="AK34" s="1">
        <v>40</v>
      </c>
      <c r="AL34" s="1">
        <v>40</v>
      </c>
      <c r="AM34" s="1">
        <v>60</v>
      </c>
      <c r="AN34" s="1">
        <v>40</v>
      </c>
      <c r="AO34" s="1">
        <v>40</v>
      </c>
      <c r="AP34">
        <f t="shared" si="1"/>
        <v>37.5</v>
      </c>
    </row>
    <row r="35" spans="1:42" x14ac:dyDescent="0.35">
      <c r="A35" s="2">
        <v>32</v>
      </c>
      <c r="B35" s="3" t="s">
        <v>32</v>
      </c>
      <c r="C35" s="1">
        <v>4</v>
      </c>
      <c r="D35" s="1">
        <v>3</v>
      </c>
      <c r="E35" s="1">
        <v>3</v>
      </c>
      <c r="F35" s="1">
        <v>3</v>
      </c>
      <c r="G35" s="1">
        <v>4</v>
      </c>
      <c r="H35" s="1">
        <v>6</v>
      </c>
      <c r="I35" s="1">
        <v>3</v>
      </c>
      <c r="J35" s="1">
        <v>2</v>
      </c>
      <c r="K35" s="1">
        <v>3</v>
      </c>
      <c r="L35" s="1">
        <v>5</v>
      </c>
      <c r="M35" s="1">
        <v>3</v>
      </c>
      <c r="N35" s="1">
        <v>3</v>
      </c>
      <c r="O35" s="1">
        <v>5</v>
      </c>
      <c r="P35" s="1">
        <v>4</v>
      </c>
      <c r="Q35" s="1">
        <v>4</v>
      </c>
      <c r="R35">
        <f t="shared" si="0"/>
        <v>3.6666666666666665</v>
      </c>
      <c r="U35" s="2">
        <v>32</v>
      </c>
      <c r="V35" s="3" t="s">
        <v>32</v>
      </c>
      <c r="W35" s="1">
        <v>2</v>
      </c>
      <c r="X35" s="1">
        <v>1</v>
      </c>
      <c r="Y35" s="1">
        <v>3</v>
      </c>
      <c r="Z35" s="1">
        <v>2</v>
      </c>
      <c r="AA35" s="1">
        <v>3</v>
      </c>
      <c r="AB35" s="1">
        <v>2</v>
      </c>
      <c r="AC35" s="1">
        <v>1</v>
      </c>
      <c r="AD35" s="1">
        <v>3</v>
      </c>
      <c r="AE35" s="1">
        <v>1</v>
      </c>
      <c r="AF35" s="1">
        <v>3</v>
      </c>
      <c r="AG35" s="1">
        <v>10</v>
      </c>
      <c r="AH35" s="1">
        <v>11</v>
      </c>
      <c r="AI35" s="1">
        <v>47.5</v>
      </c>
      <c r="AJ35" s="1">
        <v>20</v>
      </c>
      <c r="AK35" s="1">
        <v>20</v>
      </c>
      <c r="AL35" s="1">
        <v>40</v>
      </c>
      <c r="AM35" s="1">
        <v>5</v>
      </c>
      <c r="AN35" s="1">
        <v>20</v>
      </c>
      <c r="AO35" s="1">
        <v>40</v>
      </c>
      <c r="AP35">
        <f t="shared" si="1"/>
        <v>24.166666666666668</v>
      </c>
    </row>
    <row r="36" spans="1:42" x14ac:dyDescent="0.35">
      <c r="A36" s="2">
        <v>33</v>
      </c>
      <c r="B36" s="3" t="s">
        <v>33</v>
      </c>
      <c r="C36" s="1">
        <v>4</v>
      </c>
      <c r="D36" s="1">
        <v>3</v>
      </c>
      <c r="E36" s="1">
        <v>3</v>
      </c>
      <c r="F36" s="1">
        <v>3</v>
      </c>
      <c r="G36" s="6">
        <v>2</v>
      </c>
      <c r="H36" s="1">
        <v>2</v>
      </c>
      <c r="I36" s="1">
        <v>4</v>
      </c>
      <c r="J36" s="1">
        <v>1</v>
      </c>
      <c r="K36" s="1">
        <v>2</v>
      </c>
      <c r="L36" s="1">
        <v>3</v>
      </c>
      <c r="M36" s="1">
        <v>5</v>
      </c>
      <c r="N36" s="1">
        <v>5</v>
      </c>
      <c r="O36" s="1">
        <v>4</v>
      </c>
      <c r="P36" s="1">
        <v>5</v>
      </c>
      <c r="Q36" s="1">
        <v>3</v>
      </c>
      <c r="R36">
        <f t="shared" si="0"/>
        <v>3.2666666666666666</v>
      </c>
      <c r="U36" s="2">
        <f>33</f>
        <v>33</v>
      </c>
      <c r="V36" s="3" t="s">
        <v>33</v>
      </c>
      <c r="W36" s="1">
        <v>3</v>
      </c>
      <c r="X36" s="1">
        <v>2</v>
      </c>
      <c r="Y36" s="1">
        <v>2</v>
      </c>
      <c r="Z36" s="1">
        <v>3</v>
      </c>
      <c r="AA36" s="1">
        <v>1</v>
      </c>
      <c r="AB36" s="1">
        <v>2</v>
      </c>
      <c r="AC36" s="1">
        <v>3</v>
      </c>
      <c r="AD36" s="1">
        <v>4</v>
      </c>
      <c r="AE36" s="1">
        <v>1</v>
      </c>
      <c r="AF36" s="1">
        <v>3</v>
      </c>
      <c r="AG36" s="1">
        <v>10</v>
      </c>
      <c r="AH36" s="1">
        <v>14</v>
      </c>
      <c r="AI36" s="1">
        <v>40</v>
      </c>
      <c r="AJ36" s="1">
        <v>5</v>
      </c>
      <c r="AK36" s="1">
        <v>40</v>
      </c>
      <c r="AL36" s="1">
        <v>20</v>
      </c>
      <c r="AM36" s="1">
        <v>20</v>
      </c>
      <c r="AN36" s="1">
        <v>40</v>
      </c>
      <c r="AO36" s="1">
        <v>20</v>
      </c>
      <c r="AP36">
        <f t="shared" si="1"/>
        <v>24.166666666666668</v>
      </c>
    </row>
    <row r="37" spans="1:42" x14ac:dyDescent="0.35">
      <c r="A37" s="2">
        <v>34</v>
      </c>
      <c r="B37" s="3" t="s">
        <v>34</v>
      </c>
      <c r="C37" s="1">
        <v>4</v>
      </c>
      <c r="D37" s="1">
        <v>3</v>
      </c>
      <c r="E37" s="1">
        <v>4</v>
      </c>
      <c r="F37" s="1">
        <v>5</v>
      </c>
      <c r="G37" s="1">
        <v>4</v>
      </c>
      <c r="H37" s="1">
        <v>1</v>
      </c>
      <c r="I37" s="1">
        <v>4</v>
      </c>
      <c r="J37" s="1">
        <v>2</v>
      </c>
      <c r="K37" s="1">
        <v>3</v>
      </c>
      <c r="L37" s="1">
        <v>4</v>
      </c>
      <c r="M37" s="1">
        <v>5</v>
      </c>
      <c r="N37" s="1">
        <v>3</v>
      </c>
      <c r="O37" s="1">
        <v>3</v>
      </c>
      <c r="P37" s="1">
        <v>3</v>
      </c>
      <c r="Q37" s="1">
        <v>3</v>
      </c>
      <c r="R37">
        <f t="shared" si="0"/>
        <v>3.4</v>
      </c>
      <c r="U37" s="2">
        <v>34</v>
      </c>
      <c r="V37" s="3" t="s">
        <v>34</v>
      </c>
      <c r="W37" s="1">
        <v>1</v>
      </c>
      <c r="X37" s="1">
        <v>2</v>
      </c>
      <c r="Y37" s="1">
        <v>1</v>
      </c>
      <c r="Z37" s="1">
        <v>2</v>
      </c>
      <c r="AA37" s="1">
        <v>3</v>
      </c>
      <c r="AB37" s="1">
        <v>4</v>
      </c>
      <c r="AC37" s="1">
        <v>2</v>
      </c>
      <c r="AD37" s="1">
        <v>3</v>
      </c>
      <c r="AE37" s="1">
        <v>2</v>
      </c>
      <c r="AF37" s="1">
        <v>3</v>
      </c>
      <c r="AG37" s="1">
        <v>9</v>
      </c>
      <c r="AH37" s="1">
        <v>14</v>
      </c>
      <c r="AI37" s="1">
        <v>37.5</v>
      </c>
      <c r="AJ37" s="6">
        <v>20</v>
      </c>
      <c r="AK37" s="1">
        <v>20</v>
      </c>
      <c r="AL37" s="1">
        <v>5</v>
      </c>
      <c r="AM37" s="1">
        <v>40</v>
      </c>
      <c r="AN37" s="1">
        <v>20</v>
      </c>
      <c r="AO37" s="1">
        <v>40</v>
      </c>
      <c r="AP37">
        <f t="shared" si="1"/>
        <v>24.166666666666668</v>
      </c>
    </row>
    <row r="38" spans="1:42" x14ac:dyDescent="0.35">
      <c r="A38" s="2">
        <v>35</v>
      </c>
      <c r="B38" s="3" t="s">
        <v>35</v>
      </c>
      <c r="C38" s="1">
        <v>5</v>
      </c>
      <c r="D38" s="1">
        <v>4</v>
      </c>
      <c r="E38" s="1">
        <v>3</v>
      </c>
      <c r="F38" s="1">
        <v>5</v>
      </c>
      <c r="G38" s="1">
        <v>3</v>
      </c>
      <c r="H38" s="1">
        <v>2</v>
      </c>
      <c r="I38" s="1">
        <v>5</v>
      </c>
      <c r="J38" s="1">
        <v>4</v>
      </c>
      <c r="K38" s="1">
        <v>4</v>
      </c>
      <c r="L38" s="1">
        <v>4</v>
      </c>
      <c r="M38" s="1">
        <v>3</v>
      </c>
      <c r="N38" s="1">
        <v>4</v>
      </c>
      <c r="O38" s="1">
        <v>4</v>
      </c>
      <c r="P38" s="1">
        <v>6</v>
      </c>
      <c r="Q38" s="1">
        <v>2</v>
      </c>
      <c r="R38">
        <f t="shared" si="0"/>
        <v>3.8666666666666667</v>
      </c>
      <c r="U38" s="2">
        <v>35</v>
      </c>
      <c r="V38" s="3" t="s">
        <v>35</v>
      </c>
      <c r="W38" s="1">
        <v>3</v>
      </c>
      <c r="X38" s="1">
        <v>2</v>
      </c>
      <c r="Y38" s="1">
        <v>3</v>
      </c>
      <c r="Z38" s="1">
        <v>1</v>
      </c>
      <c r="AA38" s="1">
        <v>5</v>
      </c>
      <c r="AB38" s="1">
        <v>2</v>
      </c>
      <c r="AC38" s="1">
        <v>1</v>
      </c>
      <c r="AD38" s="1">
        <v>4</v>
      </c>
      <c r="AE38" s="1">
        <v>1</v>
      </c>
      <c r="AF38" s="1">
        <v>3</v>
      </c>
      <c r="AG38" s="1">
        <v>13</v>
      </c>
      <c r="AH38" s="1">
        <v>12</v>
      </c>
      <c r="AI38" s="1">
        <v>52.5</v>
      </c>
      <c r="AJ38" s="1">
        <v>5</v>
      </c>
      <c r="AK38" s="1">
        <v>85</v>
      </c>
      <c r="AL38" s="1">
        <v>20</v>
      </c>
      <c r="AM38" s="1">
        <v>40</v>
      </c>
      <c r="AN38" s="1">
        <v>20</v>
      </c>
      <c r="AO38" s="1">
        <v>60</v>
      </c>
      <c r="AP38">
        <f t="shared" si="1"/>
        <v>38.333333333333336</v>
      </c>
    </row>
    <row r="39" spans="1:42" x14ac:dyDescent="0.35">
      <c r="A39" s="2">
        <v>36</v>
      </c>
      <c r="B39" s="3" t="s">
        <v>36</v>
      </c>
      <c r="C39" s="1">
        <v>6</v>
      </c>
      <c r="D39" s="1">
        <v>3</v>
      </c>
      <c r="E39" s="1">
        <v>2</v>
      </c>
      <c r="F39" s="1">
        <v>3</v>
      </c>
      <c r="G39" s="1">
        <v>5</v>
      </c>
      <c r="H39" s="1">
        <v>4</v>
      </c>
      <c r="I39" s="1">
        <v>3</v>
      </c>
      <c r="J39" s="1">
        <v>3</v>
      </c>
      <c r="K39" s="1">
        <v>2</v>
      </c>
      <c r="L39" s="1">
        <v>3</v>
      </c>
      <c r="M39" s="1">
        <v>3</v>
      </c>
      <c r="N39" s="1">
        <v>2</v>
      </c>
      <c r="O39" s="1">
        <v>4</v>
      </c>
      <c r="P39" s="1">
        <v>4</v>
      </c>
      <c r="Q39" s="1">
        <v>6</v>
      </c>
      <c r="R39">
        <f t="shared" si="0"/>
        <v>3.5333333333333332</v>
      </c>
      <c r="U39" s="2">
        <v>36</v>
      </c>
      <c r="V39" s="3" t="s">
        <v>36</v>
      </c>
      <c r="W39" s="1">
        <v>2</v>
      </c>
      <c r="X39" s="1">
        <v>4</v>
      </c>
      <c r="Y39" s="1">
        <v>2</v>
      </c>
      <c r="Z39" s="1">
        <v>3</v>
      </c>
      <c r="AA39" s="1">
        <v>3</v>
      </c>
      <c r="AB39" s="1">
        <v>1</v>
      </c>
      <c r="AC39" s="1">
        <v>3</v>
      </c>
      <c r="AD39" s="1">
        <v>4</v>
      </c>
      <c r="AE39" s="1">
        <v>5</v>
      </c>
      <c r="AF39" s="1">
        <v>3</v>
      </c>
      <c r="AG39" s="1">
        <v>15</v>
      </c>
      <c r="AH39" s="1">
        <v>15</v>
      </c>
      <c r="AI39" s="1">
        <v>50</v>
      </c>
      <c r="AJ39" s="1">
        <v>60</v>
      </c>
      <c r="AK39" s="1">
        <v>20</v>
      </c>
      <c r="AL39" s="1">
        <v>60</v>
      </c>
      <c r="AM39" s="1">
        <v>20</v>
      </c>
      <c r="AN39" s="1">
        <v>60</v>
      </c>
      <c r="AO39" s="1">
        <v>5</v>
      </c>
      <c r="AP39">
        <f t="shared" si="1"/>
        <v>37.5</v>
      </c>
    </row>
    <row r="40" spans="1:42" x14ac:dyDescent="0.35">
      <c r="A40" s="2">
        <v>37</v>
      </c>
      <c r="B40" s="3" t="s">
        <v>37</v>
      </c>
      <c r="C40" s="1">
        <v>7</v>
      </c>
      <c r="D40" s="1">
        <v>2</v>
      </c>
      <c r="E40" s="1">
        <v>2</v>
      </c>
      <c r="F40" s="1">
        <v>3</v>
      </c>
      <c r="G40" s="1">
        <v>3</v>
      </c>
      <c r="H40" s="1">
        <v>3</v>
      </c>
      <c r="I40" s="1">
        <v>6</v>
      </c>
      <c r="J40" s="1">
        <v>4</v>
      </c>
      <c r="K40" s="1">
        <v>4</v>
      </c>
      <c r="L40" s="1">
        <v>3</v>
      </c>
      <c r="M40" s="1">
        <v>4</v>
      </c>
      <c r="N40" s="1">
        <v>4</v>
      </c>
      <c r="O40" s="1">
        <v>3</v>
      </c>
      <c r="P40" s="1">
        <v>3</v>
      </c>
      <c r="Q40" s="1">
        <v>5</v>
      </c>
      <c r="R40">
        <f t="shared" si="0"/>
        <v>3.7333333333333334</v>
      </c>
      <c r="U40" s="2">
        <v>37</v>
      </c>
      <c r="V40" s="3" t="s">
        <v>37</v>
      </c>
      <c r="W40" s="1">
        <v>3</v>
      </c>
      <c r="X40" s="1">
        <v>3</v>
      </c>
      <c r="Y40" s="1">
        <v>4</v>
      </c>
      <c r="Z40" s="1">
        <v>2</v>
      </c>
      <c r="AA40" s="1">
        <v>3</v>
      </c>
      <c r="AB40" s="1">
        <v>2</v>
      </c>
      <c r="AC40" s="1">
        <v>3</v>
      </c>
      <c r="AD40" s="1">
        <v>3</v>
      </c>
      <c r="AE40" s="1">
        <v>2</v>
      </c>
      <c r="AF40" s="1">
        <v>3</v>
      </c>
      <c r="AG40" s="1">
        <v>15</v>
      </c>
      <c r="AH40" s="1">
        <v>13</v>
      </c>
      <c r="AI40" s="1">
        <v>55</v>
      </c>
      <c r="AJ40" s="1">
        <v>60</v>
      </c>
      <c r="AK40" s="1">
        <v>20</v>
      </c>
      <c r="AL40" s="1">
        <v>40</v>
      </c>
      <c r="AM40" s="1">
        <v>60</v>
      </c>
      <c r="AN40" s="1">
        <v>40</v>
      </c>
      <c r="AO40" s="1">
        <v>60</v>
      </c>
      <c r="AP40">
        <f t="shared" si="1"/>
        <v>46.666666666666664</v>
      </c>
    </row>
    <row r="41" spans="1:42" x14ac:dyDescent="0.35">
      <c r="A41" s="2">
        <v>38</v>
      </c>
      <c r="B41" s="3" t="s">
        <v>38</v>
      </c>
      <c r="C41" s="1">
        <v>2</v>
      </c>
      <c r="D41" s="1">
        <v>2</v>
      </c>
      <c r="E41" s="1">
        <v>2</v>
      </c>
      <c r="F41" s="1">
        <v>4</v>
      </c>
      <c r="G41" s="1">
        <v>4</v>
      </c>
      <c r="H41" s="1">
        <v>4</v>
      </c>
      <c r="I41" s="1">
        <v>4</v>
      </c>
      <c r="J41" s="1">
        <v>3</v>
      </c>
      <c r="K41" s="1">
        <v>2</v>
      </c>
      <c r="L41" s="1">
        <v>3</v>
      </c>
      <c r="M41" s="1">
        <v>3</v>
      </c>
      <c r="N41" s="1">
        <v>2</v>
      </c>
      <c r="O41" s="1">
        <v>3</v>
      </c>
      <c r="P41" s="1">
        <v>5</v>
      </c>
      <c r="Q41" s="1">
        <v>6</v>
      </c>
      <c r="R41">
        <f t="shared" si="0"/>
        <v>3.2666666666666666</v>
      </c>
      <c r="U41" s="2">
        <v>38</v>
      </c>
      <c r="V41" s="3" t="s">
        <v>38</v>
      </c>
      <c r="W41" s="1">
        <v>3</v>
      </c>
      <c r="X41" s="1">
        <v>2</v>
      </c>
      <c r="Y41" s="1">
        <v>3</v>
      </c>
      <c r="Z41" s="1">
        <v>2</v>
      </c>
      <c r="AA41" s="1">
        <v>3</v>
      </c>
      <c r="AB41" s="1">
        <v>2</v>
      </c>
      <c r="AC41" s="1">
        <v>3</v>
      </c>
      <c r="AD41" s="1">
        <v>3</v>
      </c>
      <c r="AE41" s="1">
        <v>3</v>
      </c>
      <c r="AF41" s="1">
        <v>3</v>
      </c>
      <c r="AG41" s="1">
        <v>15</v>
      </c>
      <c r="AH41" s="1">
        <v>12</v>
      </c>
      <c r="AI41" s="1">
        <v>57.5</v>
      </c>
      <c r="AJ41" s="1">
        <v>20</v>
      </c>
      <c r="AK41" s="1">
        <v>20</v>
      </c>
      <c r="AL41" s="1">
        <v>40</v>
      </c>
      <c r="AM41" s="1">
        <v>60</v>
      </c>
      <c r="AN41" s="1">
        <v>60</v>
      </c>
      <c r="AO41" s="1">
        <v>40</v>
      </c>
      <c r="AP41">
        <f t="shared" si="1"/>
        <v>40</v>
      </c>
    </row>
    <row r="42" spans="1:42" x14ac:dyDescent="0.35">
      <c r="A42" s="2">
        <v>39</v>
      </c>
      <c r="B42" s="3" t="s">
        <v>39</v>
      </c>
      <c r="C42" s="1">
        <v>2</v>
      </c>
      <c r="D42" s="1">
        <v>2</v>
      </c>
      <c r="E42" s="1">
        <v>3</v>
      </c>
      <c r="F42" s="1">
        <v>3</v>
      </c>
      <c r="G42" s="1">
        <v>4</v>
      </c>
      <c r="H42" s="1">
        <v>3</v>
      </c>
      <c r="I42" s="1">
        <v>4</v>
      </c>
      <c r="J42" s="1">
        <v>4</v>
      </c>
      <c r="K42" s="1">
        <v>3</v>
      </c>
      <c r="L42" s="1">
        <v>5</v>
      </c>
      <c r="M42" s="1">
        <v>4</v>
      </c>
      <c r="N42" s="1">
        <v>3</v>
      </c>
      <c r="O42" s="1">
        <v>2</v>
      </c>
      <c r="P42" s="1">
        <v>3</v>
      </c>
      <c r="Q42" s="1">
        <v>7</v>
      </c>
      <c r="R42">
        <f t="shared" si="0"/>
        <v>3.4666666666666668</v>
      </c>
      <c r="U42" s="2">
        <v>39</v>
      </c>
      <c r="V42" s="3" t="s">
        <v>39</v>
      </c>
      <c r="W42" s="1">
        <v>1</v>
      </c>
      <c r="X42" s="1">
        <v>2</v>
      </c>
      <c r="Y42" s="1">
        <v>4</v>
      </c>
      <c r="Z42" s="1">
        <v>1</v>
      </c>
      <c r="AA42" s="1">
        <v>3</v>
      </c>
      <c r="AB42" s="1">
        <v>2</v>
      </c>
      <c r="AC42" s="1">
        <v>1</v>
      </c>
      <c r="AD42" s="1">
        <v>2</v>
      </c>
      <c r="AE42" s="1">
        <v>4</v>
      </c>
      <c r="AF42" s="1">
        <v>3</v>
      </c>
      <c r="AG42" s="1">
        <v>13</v>
      </c>
      <c r="AH42" s="1">
        <v>10</v>
      </c>
      <c r="AI42" s="1">
        <v>57.5</v>
      </c>
      <c r="AJ42" s="1">
        <v>40</v>
      </c>
      <c r="AK42" s="1">
        <v>20</v>
      </c>
      <c r="AL42" s="1">
        <v>40</v>
      </c>
      <c r="AM42" s="1">
        <v>60</v>
      </c>
      <c r="AN42" s="1">
        <v>20</v>
      </c>
      <c r="AO42" s="1">
        <v>60</v>
      </c>
      <c r="AP42">
        <f t="shared" si="1"/>
        <v>40</v>
      </c>
    </row>
    <row r="43" spans="1:42" x14ac:dyDescent="0.35">
      <c r="A43" s="2">
        <v>40</v>
      </c>
      <c r="B43" s="3" t="s">
        <v>40</v>
      </c>
      <c r="C43" s="1">
        <v>1</v>
      </c>
      <c r="D43" s="1">
        <v>3</v>
      </c>
      <c r="E43" s="1">
        <v>4</v>
      </c>
      <c r="F43" s="1">
        <v>5</v>
      </c>
      <c r="G43" s="1">
        <v>5</v>
      </c>
      <c r="H43" s="1">
        <v>1</v>
      </c>
      <c r="I43" s="1">
        <v>3</v>
      </c>
      <c r="J43" s="1">
        <v>4</v>
      </c>
      <c r="K43" s="1">
        <v>3</v>
      </c>
      <c r="L43" s="1">
        <v>5</v>
      </c>
      <c r="M43" s="1">
        <v>4</v>
      </c>
      <c r="N43" s="1">
        <v>3</v>
      </c>
      <c r="O43" s="1">
        <v>6</v>
      </c>
      <c r="P43" s="1">
        <v>7</v>
      </c>
      <c r="Q43" s="1">
        <v>4</v>
      </c>
      <c r="R43">
        <f t="shared" si="0"/>
        <v>3.8666666666666667</v>
      </c>
      <c r="U43" s="2">
        <v>40</v>
      </c>
      <c r="V43" s="3" t="s">
        <v>40</v>
      </c>
      <c r="W43" s="1">
        <v>3</v>
      </c>
      <c r="X43" s="1">
        <v>3</v>
      </c>
      <c r="Y43" s="1">
        <v>2</v>
      </c>
      <c r="Z43" s="1">
        <v>3</v>
      </c>
      <c r="AA43" s="1">
        <v>3</v>
      </c>
      <c r="AB43" s="1">
        <v>4</v>
      </c>
      <c r="AC43" s="1">
        <v>3</v>
      </c>
      <c r="AD43" s="1">
        <v>3</v>
      </c>
      <c r="AE43" s="1">
        <v>4</v>
      </c>
      <c r="AF43" s="1">
        <v>3</v>
      </c>
      <c r="AG43" s="1">
        <v>15</v>
      </c>
      <c r="AH43" s="1">
        <v>16</v>
      </c>
      <c r="AI43" s="1">
        <v>47.5</v>
      </c>
      <c r="AJ43" s="1">
        <v>20</v>
      </c>
      <c r="AK43" s="1">
        <v>20</v>
      </c>
      <c r="AL43" s="1">
        <v>40</v>
      </c>
      <c r="AM43" s="1">
        <v>20</v>
      </c>
      <c r="AN43" s="1">
        <v>40</v>
      </c>
      <c r="AO43" s="1">
        <v>20</v>
      </c>
      <c r="AP43">
        <f t="shared" si="1"/>
        <v>26.666666666666668</v>
      </c>
    </row>
    <row r="44" spans="1:42" x14ac:dyDescent="0.35">
      <c r="A44" s="2">
        <v>41</v>
      </c>
      <c r="B44" s="3" t="s">
        <v>41</v>
      </c>
      <c r="C44" s="1">
        <v>6</v>
      </c>
      <c r="D44" s="1">
        <v>4</v>
      </c>
      <c r="E44" s="1">
        <v>4</v>
      </c>
      <c r="F44" s="1">
        <v>3</v>
      </c>
      <c r="G44" s="1">
        <v>3</v>
      </c>
      <c r="H44" s="1">
        <v>6</v>
      </c>
      <c r="I44" s="1">
        <v>1</v>
      </c>
      <c r="J44" s="1">
        <v>4</v>
      </c>
      <c r="K44" s="1">
        <v>3</v>
      </c>
      <c r="L44" s="1">
        <v>3</v>
      </c>
      <c r="M44" s="1">
        <v>1</v>
      </c>
      <c r="N44" s="1">
        <v>3</v>
      </c>
      <c r="O44" s="1">
        <v>5</v>
      </c>
      <c r="P44" s="1">
        <v>5</v>
      </c>
      <c r="Q44" s="1">
        <v>4</v>
      </c>
      <c r="R44">
        <f t="shared" si="0"/>
        <v>3.6666666666666665</v>
      </c>
      <c r="U44" s="2">
        <v>41</v>
      </c>
      <c r="V44" s="3" t="s">
        <v>41</v>
      </c>
      <c r="W44" s="1">
        <v>3</v>
      </c>
      <c r="X44" s="1">
        <v>1</v>
      </c>
      <c r="Y44" s="1">
        <v>1</v>
      </c>
      <c r="Z44" s="1">
        <v>3</v>
      </c>
      <c r="AA44" s="1">
        <v>2</v>
      </c>
      <c r="AB44" s="1">
        <v>3</v>
      </c>
      <c r="AC44" s="1">
        <v>1</v>
      </c>
      <c r="AD44" s="1">
        <v>3</v>
      </c>
      <c r="AE44" s="1">
        <v>2</v>
      </c>
      <c r="AF44" s="1">
        <v>3</v>
      </c>
      <c r="AG44" s="1">
        <v>9</v>
      </c>
      <c r="AH44" s="1">
        <v>13</v>
      </c>
      <c r="AI44" s="1">
        <v>40</v>
      </c>
      <c r="AJ44" s="1">
        <v>5</v>
      </c>
      <c r="AK44" s="1">
        <v>20</v>
      </c>
      <c r="AL44" s="1">
        <v>60</v>
      </c>
      <c r="AM44" s="1">
        <v>20</v>
      </c>
      <c r="AN44" s="1">
        <v>40</v>
      </c>
      <c r="AO44" s="1">
        <v>20</v>
      </c>
      <c r="AP44">
        <f t="shared" si="1"/>
        <v>27.5</v>
      </c>
    </row>
    <row r="45" spans="1:42" x14ac:dyDescent="0.35">
      <c r="A45" s="2">
        <v>42</v>
      </c>
      <c r="B45" s="3" t="s">
        <v>42</v>
      </c>
      <c r="C45" s="1">
        <v>5</v>
      </c>
      <c r="D45" s="1">
        <v>4</v>
      </c>
      <c r="E45" s="1">
        <v>4</v>
      </c>
      <c r="F45" s="1">
        <v>4</v>
      </c>
      <c r="G45" s="1">
        <v>6</v>
      </c>
      <c r="H45" s="1">
        <v>5</v>
      </c>
      <c r="I45" s="1">
        <v>6</v>
      </c>
      <c r="J45" s="1">
        <v>4</v>
      </c>
      <c r="K45" s="1">
        <v>5</v>
      </c>
      <c r="L45" s="1">
        <v>3</v>
      </c>
      <c r="M45" s="1">
        <v>4</v>
      </c>
      <c r="N45" s="1">
        <v>2</v>
      </c>
      <c r="O45" s="1">
        <v>6</v>
      </c>
      <c r="P45" s="1">
        <v>4</v>
      </c>
      <c r="Q45" s="1">
        <v>3</v>
      </c>
      <c r="R45">
        <f t="shared" si="0"/>
        <v>4.333333333333333</v>
      </c>
      <c r="U45" s="2">
        <v>42</v>
      </c>
      <c r="V45" s="3" t="s">
        <v>42</v>
      </c>
      <c r="W45" s="1">
        <v>3</v>
      </c>
      <c r="X45" s="1">
        <v>3</v>
      </c>
      <c r="Y45" s="1">
        <v>3</v>
      </c>
      <c r="Z45" s="1">
        <v>2</v>
      </c>
      <c r="AA45" s="1">
        <v>3</v>
      </c>
      <c r="AB45" s="1">
        <v>2</v>
      </c>
      <c r="AC45" s="1">
        <v>3</v>
      </c>
      <c r="AD45" s="1">
        <v>2</v>
      </c>
      <c r="AE45" s="1">
        <v>3</v>
      </c>
      <c r="AF45" s="1">
        <v>2</v>
      </c>
      <c r="AG45" s="1">
        <v>15</v>
      </c>
      <c r="AH45" s="1">
        <v>11</v>
      </c>
      <c r="AI45" s="1">
        <v>60</v>
      </c>
      <c r="AJ45" s="1">
        <v>20</v>
      </c>
      <c r="AK45" s="1">
        <v>20</v>
      </c>
      <c r="AL45" s="1">
        <v>40</v>
      </c>
      <c r="AM45" s="1">
        <v>20</v>
      </c>
      <c r="AN45" s="1">
        <v>40</v>
      </c>
      <c r="AO45" s="1">
        <v>40</v>
      </c>
      <c r="AP45">
        <f t="shared" si="1"/>
        <v>30</v>
      </c>
    </row>
    <row r="46" spans="1:42" x14ac:dyDescent="0.35">
      <c r="A46" s="2">
        <v>43</v>
      </c>
      <c r="B46" s="3" t="s">
        <v>43</v>
      </c>
      <c r="C46" s="1">
        <v>5</v>
      </c>
      <c r="D46" s="1">
        <v>4</v>
      </c>
      <c r="E46" s="1">
        <v>3</v>
      </c>
      <c r="F46" s="1">
        <v>4</v>
      </c>
      <c r="G46" s="1">
        <v>4</v>
      </c>
      <c r="H46" s="1">
        <v>5</v>
      </c>
      <c r="I46" s="1">
        <v>5</v>
      </c>
      <c r="J46" s="1">
        <v>4</v>
      </c>
      <c r="K46" s="1">
        <v>3</v>
      </c>
      <c r="L46" s="1">
        <v>5</v>
      </c>
      <c r="M46" s="1">
        <v>4</v>
      </c>
      <c r="N46" s="1">
        <v>2</v>
      </c>
      <c r="O46" s="1">
        <v>7</v>
      </c>
      <c r="P46" s="1">
        <v>5</v>
      </c>
      <c r="Q46" s="1">
        <v>2</v>
      </c>
      <c r="R46">
        <f t="shared" si="0"/>
        <v>4.1333333333333337</v>
      </c>
      <c r="U46" s="2">
        <v>43</v>
      </c>
      <c r="V46" s="3" t="s">
        <v>43</v>
      </c>
      <c r="W46" s="1">
        <v>5</v>
      </c>
      <c r="X46" s="1">
        <v>4</v>
      </c>
      <c r="Y46" s="1">
        <v>2</v>
      </c>
      <c r="Z46" s="1">
        <v>2</v>
      </c>
      <c r="AA46" s="1">
        <v>4</v>
      </c>
      <c r="AB46" s="1">
        <v>1</v>
      </c>
      <c r="AC46" s="1">
        <v>3</v>
      </c>
      <c r="AD46" s="1">
        <v>2</v>
      </c>
      <c r="AE46" s="1">
        <v>1</v>
      </c>
      <c r="AF46" s="1">
        <v>3</v>
      </c>
      <c r="AG46" s="1">
        <v>15</v>
      </c>
      <c r="AH46" s="1">
        <v>12</v>
      </c>
      <c r="AI46" s="1">
        <v>57.5</v>
      </c>
      <c r="AJ46" s="1">
        <v>60</v>
      </c>
      <c r="AK46" s="1">
        <v>20</v>
      </c>
      <c r="AL46" s="1">
        <v>40</v>
      </c>
      <c r="AM46" s="1">
        <v>20</v>
      </c>
      <c r="AN46" s="1">
        <v>60</v>
      </c>
      <c r="AO46" s="1">
        <v>40</v>
      </c>
      <c r="AP46">
        <f t="shared" si="1"/>
        <v>40</v>
      </c>
    </row>
    <row r="47" spans="1:42" x14ac:dyDescent="0.35">
      <c r="A47" s="2">
        <v>44</v>
      </c>
      <c r="B47" s="3" t="s">
        <v>71</v>
      </c>
      <c r="C47" s="1">
        <v>4</v>
      </c>
      <c r="D47" s="1">
        <v>3</v>
      </c>
      <c r="E47" s="1">
        <v>1</v>
      </c>
      <c r="F47" s="1">
        <v>3</v>
      </c>
      <c r="G47" s="1">
        <v>4</v>
      </c>
      <c r="H47" s="1">
        <v>4</v>
      </c>
      <c r="I47" s="1">
        <v>5</v>
      </c>
      <c r="J47" s="1">
        <v>4</v>
      </c>
      <c r="K47" s="1">
        <v>4</v>
      </c>
      <c r="L47" s="1">
        <v>5</v>
      </c>
      <c r="M47" s="1">
        <v>5</v>
      </c>
      <c r="N47" s="1">
        <v>3</v>
      </c>
      <c r="O47" s="1">
        <v>4</v>
      </c>
      <c r="P47" s="1">
        <v>2</v>
      </c>
      <c r="Q47" s="1">
        <v>3</v>
      </c>
      <c r="R47">
        <f t="shared" si="0"/>
        <v>3.6</v>
      </c>
      <c r="U47" s="2">
        <v>44</v>
      </c>
      <c r="V47" s="3" t="s">
        <v>71</v>
      </c>
      <c r="W47" s="1">
        <v>4</v>
      </c>
      <c r="X47" s="1">
        <v>2</v>
      </c>
      <c r="Y47" s="1">
        <v>4</v>
      </c>
      <c r="Z47" s="1">
        <v>1</v>
      </c>
      <c r="AA47" s="1">
        <v>2</v>
      </c>
      <c r="AB47" s="1">
        <v>3</v>
      </c>
      <c r="AC47" s="1">
        <v>4</v>
      </c>
      <c r="AD47" s="1">
        <v>2</v>
      </c>
      <c r="AE47" s="1">
        <v>2</v>
      </c>
      <c r="AF47" s="1">
        <v>3</v>
      </c>
      <c r="AG47" s="1">
        <v>16</v>
      </c>
      <c r="AH47" s="1">
        <v>11</v>
      </c>
      <c r="AI47" s="1">
        <v>62.5</v>
      </c>
      <c r="AJ47" s="1">
        <v>20</v>
      </c>
      <c r="AK47" s="1">
        <v>20</v>
      </c>
      <c r="AL47" s="1">
        <v>40</v>
      </c>
      <c r="AM47" s="1">
        <v>20</v>
      </c>
      <c r="AN47" s="1">
        <v>40</v>
      </c>
      <c r="AO47" s="1">
        <v>60</v>
      </c>
      <c r="AP47">
        <f t="shared" si="1"/>
        <v>33.333333333333336</v>
      </c>
    </row>
    <row r="48" spans="1:42" x14ac:dyDescent="0.35">
      <c r="A48" s="31" t="s">
        <v>103</v>
      </c>
      <c r="B48" s="33"/>
      <c r="C48" s="1">
        <f t="shared" ref="C48:Q48" si="2">AVERAGE(C4:C47)</f>
        <v>3.2272727272727271</v>
      </c>
      <c r="D48" s="1">
        <f t="shared" si="2"/>
        <v>2.9090909090909092</v>
      </c>
      <c r="E48" s="1">
        <f t="shared" si="2"/>
        <v>2.8636363636363638</v>
      </c>
      <c r="F48" s="1">
        <f t="shared" si="2"/>
        <v>3.6136363636363638</v>
      </c>
      <c r="G48" s="1">
        <f t="shared" si="2"/>
        <v>3.5</v>
      </c>
      <c r="H48" s="1">
        <f t="shared" si="2"/>
        <v>3.7272727272727271</v>
      </c>
      <c r="I48" s="1">
        <f t="shared" si="2"/>
        <v>4</v>
      </c>
      <c r="J48" s="1">
        <f t="shared" si="2"/>
        <v>3.4772727272727271</v>
      </c>
      <c r="K48" s="1">
        <f t="shared" si="2"/>
        <v>3.3636363636363638</v>
      </c>
      <c r="L48" s="1">
        <f t="shared" si="2"/>
        <v>3.7727272727272729</v>
      </c>
      <c r="M48" s="1">
        <f t="shared" si="2"/>
        <v>3.3409090909090908</v>
      </c>
      <c r="N48" s="1">
        <f t="shared" si="2"/>
        <v>3.0681818181818183</v>
      </c>
      <c r="O48" s="1">
        <f t="shared" si="2"/>
        <v>3.4318181818181817</v>
      </c>
      <c r="P48" s="1">
        <f t="shared" si="2"/>
        <v>3.7954545454545454</v>
      </c>
      <c r="Q48" s="1">
        <f t="shared" si="2"/>
        <v>3.6363636363636362</v>
      </c>
      <c r="U48" s="31" t="s">
        <v>123</v>
      </c>
      <c r="V48" s="40"/>
      <c r="W48" s="1">
        <f t="shared" ref="W48:AP48" si="3">AVERAGE(W4:W47)</f>
        <v>1.9545454545454546</v>
      </c>
      <c r="X48" s="1">
        <f t="shared" si="3"/>
        <v>1.9772727272727273</v>
      </c>
      <c r="Y48" s="1">
        <f t="shared" si="3"/>
        <v>2.0681818181818183</v>
      </c>
      <c r="Z48" s="1">
        <f t="shared" si="3"/>
        <v>2.0909090909090908</v>
      </c>
      <c r="AA48" s="1">
        <f t="shared" si="3"/>
        <v>2.8409090909090908</v>
      </c>
      <c r="AB48" s="1">
        <f t="shared" si="3"/>
        <v>2.5454545454545454</v>
      </c>
      <c r="AC48" s="1">
        <f t="shared" si="3"/>
        <v>2.5681818181818183</v>
      </c>
      <c r="AD48" s="1">
        <f t="shared" si="3"/>
        <v>2.8409090909090908</v>
      </c>
      <c r="AE48" s="1">
        <f t="shared" si="3"/>
        <v>2.9090909090909092</v>
      </c>
      <c r="AF48" s="1">
        <f t="shared" si="3"/>
        <v>2.9090909090909092</v>
      </c>
      <c r="AG48" s="1">
        <f t="shared" si="3"/>
        <v>12</v>
      </c>
      <c r="AH48" s="1">
        <f t="shared" si="3"/>
        <v>12.159090909090908</v>
      </c>
      <c r="AI48" s="1">
        <f t="shared" si="3"/>
        <v>49.94318181818182</v>
      </c>
      <c r="AJ48" s="1">
        <f t="shared" si="3"/>
        <v>25</v>
      </c>
      <c r="AK48" s="1">
        <f t="shared" si="3"/>
        <v>21.931818181818183</v>
      </c>
      <c r="AL48" s="1">
        <f t="shared" si="3"/>
        <v>33.636363636363633</v>
      </c>
      <c r="AM48" s="1">
        <f t="shared" si="3"/>
        <v>32.045454545454547</v>
      </c>
      <c r="AN48" s="1">
        <f t="shared" si="3"/>
        <v>34.772727272727273</v>
      </c>
      <c r="AO48" s="1">
        <f t="shared" si="3"/>
        <v>39.545454545454547</v>
      </c>
      <c r="AP48" s="6">
        <f t="shared" si="3"/>
        <v>31.155303030303028</v>
      </c>
    </row>
    <row r="49" spans="1:42" x14ac:dyDescent="0.35">
      <c r="A49" s="31" t="s">
        <v>122</v>
      </c>
      <c r="B49" s="33"/>
      <c r="C49" s="1">
        <f t="shared" ref="C49:Q49" si="4">STDEV(C4:C47)</f>
        <v>1.6546430285100895</v>
      </c>
      <c r="D49" s="1">
        <f t="shared" si="4"/>
        <v>0.77213632421434952</v>
      </c>
      <c r="E49" s="1">
        <f t="shared" si="4"/>
        <v>0.82380030010973415</v>
      </c>
      <c r="F49" s="1">
        <f t="shared" si="4"/>
        <v>1.224097372075176</v>
      </c>
      <c r="G49" s="1">
        <f t="shared" si="4"/>
        <v>0.97646729187055892</v>
      </c>
      <c r="H49" s="1">
        <f t="shared" si="4"/>
        <v>1.6755927290536641</v>
      </c>
      <c r="I49" s="1">
        <f t="shared" si="4"/>
        <v>1.5700688771737905</v>
      </c>
      <c r="J49" s="1">
        <f t="shared" si="4"/>
        <v>1.4384849323626054</v>
      </c>
      <c r="K49" s="1">
        <f t="shared" si="4"/>
        <v>1.479957716097873</v>
      </c>
      <c r="L49" s="1">
        <f t="shared" si="4"/>
        <v>1.5229047575716119</v>
      </c>
      <c r="M49" s="1">
        <f t="shared" si="4"/>
        <v>1.0984805958460608</v>
      </c>
      <c r="N49" s="1">
        <f t="shared" si="4"/>
        <v>1.1693314980021163</v>
      </c>
      <c r="O49" s="1">
        <f t="shared" si="4"/>
        <v>1.5310389734642236</v>
      </c>
      <c r="P49" s="1">
        <f t="shared" si="4"/>
        <v>1.6646746375939729</v>
      </c>
      <c r="Q49" s="1">
        <f t="shared" si="4"/>
        <v>1.3824634078324716</v>
      </c>
      <c r="U49" s="28" t="s">
        <v>124</v>
      </c>
      <c r="V49" s="37"/>
      <c r="W49" s="1">
        <f t="shared" ref="W49:AP49" si="5">STDEV(W4:W47)</f>
        <v>0.98723351905293866</v>
      </c>
      <c r="X49" s="1">
        <f t="shared" si="5"/>
        <v>0.87573587298848299</v>
      </c>
      <c r="Y49" s="1">
        <f t="shared" si="5"/>
        <v>0.99761872925685335</v>
      </c>
      <c r="Z49" s="1">
        <f t="shared" si="5"/>
        <v>0.83019139900700045</v>
      </c>
      <c r="AA49" s="1">
        <f t="shared" si="5"/>
        <v>0.88772460160092792</v>
      </c>
      <c r="AB49" s="1">
        <f t="shared" si="5"/>
        <v>1.0880865529557127</v>
      </c>
      <c r="AC49" s="1">
        <f t="shared" si="5"/>
        <v>1.2275467550935906</v>
      </c>
      <c r="AD49" s="1">
        <f t="shared" si="5"/>
        <v>1.0771016625849856</v>
      </c>
      <c r="AE49" s="1">
        <f t="shared" si="5"/>
        <v>1.1972484309853275</v>
      </c>
      <c r="AF49" s="1">
        <f t="shared" si="5"/>
        <v>0.96009160944155969</v>
      </c>
      <c r="AG49" s="1">
        <f t="shared" si="5"/>
        <v>3.2990484886149458</v>
      </c>
      <c r="AH49" s="1">
        <f t="shared" si="5"/>
        <v>2.5964482163872549</v>
      </c>
      <c r="AI49" s="1">
        <f t="shared" si="5"/>
        <v>9.1893618405165025</v>
      </c>
      <c r="AJ49" s="1">
        <f t="shared" si="5"/>
        <v>22.256433613885722</v>
      </c>
      <c r="AK49" s="1">
        <f t="shared" si="5"/>
        <v>14.192034659629565</v>
      </c>
      <c r="AL49" s="1">
        <f t="shared" si="5"/>
        <v>18.812527875700166</v>
      </c>
      <c r="AM49" s="1">
        <f t="shared" si="5"/>
        <v>18.404946940472463</v>
      </c>
      <c r="AN49" s="1">
        <f t="shared" si="5"/>
        <v>15.883095645141953</v>
      </c>
      <c r="AO49" s="1">
        <f t="shared" si="5"/>
        <v>18.857426574108295</v>
      </c>
      <c r="AP49" s="19">
        <f t="shared" si="5"/>
        <v>9.4933267550218456</v>
      </c>
    </row>
    <row r="50" spans="1:42" x14ac:dyDescent="0.35">
      <c r="C50" s="48" t="s">
        <v>61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</row>
    <row r="51" spans="1:42" x14ac:dyDescent="0.35">
      <c r="C51" s="2" t="s">
        <v>45</v>
      </c>
      <c r="D51" s="2" t="s">
        <v>46</v>
      </c>
      <c r="E51" s="2" t="s">
        <v>47</v>
      </c>
      <c r="F51" s="2" t="s">
        <v>48</v>
      </c>
      <c r="G51" s="2" t="s">
        <v>49</v>
      </c>
      <c r="H51" s="2" t="s">
        <v>50</v>
      </c>
      <c r="I51" s="2" t="s">
        <v>51</v>
      </c>
      <c r="J51" s="2" t="s">
        <v>52</v>
      </c>
      <c r="K51" s="2" t="s">
        <v>53</v>
      </c>
      <c r="L51" s="2" t="s">
        <v>54</v>
      </c>
      <c r="M51" s="2" t="s">
        <v>55</v>
      </c>
      <c r="N51" s="2" t="s">
        <v>56</v>
      </c>
      <c r="O51" s="2" t="s">
        <v>57</v>
      </c>
      <c r="P51" s="2" t="s">
        <v>58</v>
      </c>
      <c r="Q51" s="2" t="s">
        <v>59</v>
      </c>
    </row>
    <row r="52" spans="1:42" x14ac:dyDescent="0.35">
      <c r="C52" s="1" t="s">
        <v>62</v>
      </c>
      <c r="D52" s="1" t="s">
        <v>63</v>
      </c>
      <c r="E52" s="1" t="s">
        <v>64</v>
      </c>
      <c r="F52" s="1" t="s">
        <v>65</v>
      </c>
      <c r="G52" s="1" t="s">
        <v>66</v>
      </c>
      <c r="H52" s="1" t="s">
        <v>67</v>
      </c>
      <c r="I52" s="1" t="s">
        <v>62</v>
      </c>
      <c r="J52" s="1" t="s">
        <v>68</v>
      </c>
      <c r="K52" s="1" t="s">
        <v>68</v>
      </c>
      <c r="L52" s="1" t="s">
        <v>62</v>
      </c>
      <c r="M52" s="1" t="s">
        <v>69</v>
      </c>
      <c r="N52" s="1" t="s">
        <v>69</v>
      </c>
      <c r="O52" s="1" t="s">
        <v>64</v>
      </c>
      <c r="P52" s="1" t="s">
        <v>70</v>
      </c>
      <c r="Q52" s="1" t="s">
        <v>67</v>
      </c>
    </row>
    <row r="53" spans="1:42" x14ac:dyDescent="0.35">
      <c r="A53" s="2" t="s">
        <v>44</v>
      </c>
      <c r="B53" s="2" t="s">
        <v>0</v>
      </c>
      <c r="C53" s="28" t="s">
        <v>60</v>
      </c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</row>
    <row r="54" spans="1:42" x14ac:dyDescent="0.35">
      <c r="A54" s="1"/>
      <c r="B54" s="1"/>
      <c r="C54" s="2" t="s">
        <v>45</v>
      </c>
      <c r="D54" s="2" t="s">
        <v>46</v>
      </c>
      <c r="E54" s="2" t="s">
        <v>47</v>
      </c>
      <c r="F54" s="2" t="s">
        <v>48</v>
      </c>
      <c r="G54" s="2" t="s">
        <v>49</v>
      </c>
      <c r="H54" s="2" t="s">
        <v>50</v>
      </c>
      <c r="I54" s="2" t="s">
        <v>51</v>
      </c>
      <c r="J54" s="2" t="s">
        <v>52</v>
      </c>
      <c r="K54" s="2" t="s">
        <v>53</v>
      </c>
      <c r="L54" s="2" t="s">
        <v>54</v>
      </c>
      <c r="M54" s="2" t="s">
        <v>55</v>
      </c>
      <c r="N54" s="2" t="s">
        <v>56</v>
      </c>
      <c r="O54" s="2" t="s">
        <v>57</v>
      </c>
      <c r="P54" s="2" t="s">
        <v>58</v>
      </c>
      <c r="Q54" s="2" t="s">
        <v>59</v>
      </c>
      <c r="R54" s="13" t="s">
        <v>110</v>
      </c>
    </row>
    <row r="55" spans="1:42" x14ac:dyDescent="0.35">
      <c r="A55" s="1"/>
      <c r="B55" s="1"/>
      <c r="C55" s="28" t="s">
        <v>77</v>
      </c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</row>
    <row r="56" spans="1:42" x14ac:dyDescent="0.35">
      <c r="A56" s="2">
        <v>1</v>
      </c>
      <c r="B56" s="3" t="s">
        <v>1</v>
      </c>
      <c r="C56" s="4">
        <v>1</v>
      </c>
      <c r="D56" s="1">
        <v>1</v>
      </c>
      <c r="E56" s="1">
        <v>1</v>
      </c>
      <c r="F56" s="1">
        <v>1</v>
      </c>
      <c r="G56" s="1">
        <v>1</v>
      </c>
      <c r="H56" s="1">
        <v>0</v>
      </c>
      <c r="I56" s="1">
        <v>1</v>
      </c>
      <c r="J56" s="1">
        <v>1</v>
      </c>
      <c r="K56" s="1">
        <v>1</v>
      </c>
      <c r="L56" s="1">
        <v>1</v>
      </c>
      <c r="M56" s="1">
        <v>1</v>
      </c>
      <c r="N56" s="1">
        <v>1</v>
      </c>
      <c r="O56" s="1">
        <v>1</v>
      </c>
      <c r="P56" s="1">
        <v>1</v>
      </c>
      <c r="Q56" s="1">
        <v>1</v>
      </c>
      <c r="R56">
        <f t="shared" ref="R56:R73" si="6">AVERAGE(C56:Q56)*100</f>
        <v>93.333333333333329</v>
      </c>
    </row>
    <row r="57" spans="1:42" x14ac:dyDescent="0.35">
      <c r="A57" s="2">
        <v>2</v>
      </c>
      <c r="B57" s="3" t="s">
        <v>2</v>
      </c>
      <c r="C57" s="1">
        <v>1</v>
      </c>
      <c r="D57">
        <v>0</v>
      </c>
      <c r="E57" s="1">
        <v>1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0</v>
      </c>
      <c r="L57" s="1">
        <v>1</v>
      </c>
      <c r="M57" s="1">
        <v>1</v>
      </c>
      <c r="N57" s="1">
        <v>1</v>
      </c>
      <c r="O57" s="1">
        <v>1</v>
      </c>
      <c r="P57" s="1">
        <v>1</v>
      </c>
      <c r="Q57" s="1">
        <v>1</v>
      </c>
      <c r="R57">
        <f t="shared" si="6"/>
        <v>86.666666666666671</v>
      </c>
    </row>
    <row r="58" spans="1:42" x14ac:dyDescent="0.35">
      <c r="A58" s="2">
        <v>3</v>
      </c>
      <c r="B58" s="3" t="s">
        <v>3</v>
      </c>
      <c r="C58" s="1">
        <v>1</v>
      </c>
      <c r="D58" s="1">
        <v>1</v>
      </c>
      <c r="E58" s="1">
        <v>1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  <c r="M58" s="1">
        <v>1</v>
      </c>
      <c r="N58" s="1">
        <v>1</v>
      </c>
      <c r="O58" s="1">
        <v>1</v>
      </c>
      <c r="P58" s="1">
        <v>1</v>
      </c>
      <c r="Q58" s="1">
        <v>1</v>
      </c>
      <c r="R58">
        <f t="shared" si="6"/>
        <v>100</v>
      </c>
    </row>
    <row r="59" spans="1:42" x14ac:dyDescent="0.35">
      <c r="A59" s="2">
        <v>4</v>
      </c>
      <c r="B59" s="3" t="s">
        <v>4</v>
      </c>
      <c r="C59" s="1">
        <v>1</v>
      </c>
      <c r="D59" s="1">
        <v>1</v>
      </c>
      <c r="E59" s="1">
        <v>1</v>
      </c>
      <c r="F59" s="1">
        <v>0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1">
        <v>1</v>
      </c>
      <c r="N59" s="1">
        <v>1</v>
      </c>
      <c r="O59" s="1">
        <v>1</v>
      </c>
      <c r="P59" s="1">
        <v>1</v>
      </c>
      <c r="Q59" s="1">
        <v>1</v>
      </c>
      <c r="R59">
        <f t="shared" si="6"/>
        <v>93.333333333333329</v>
      </c>
    </row>
    <row r="60" spans="1:42" x14ac:dyDescent="0.35">
      <c r="A60" s="2">
        <v>5</v>
      </c>
      <c r="B60" s="3" t="s">
        <v>5</v>
      </c>
      <c r="C60" s="1">
        <v>1</v>
      </c>
      <c r="D60" s="1">
        <v>1</v>
      </c>
      <c r="E60" s="1">
        <v>1</v>
      </c>
      <c r="F60" s="1">
        <v>1</v>
      </c>
      <c r="G60" s="1">
        <v>0</v>
      </c>
      <c r="H60" s="1">
        <v>1</v>
      </c>
      <c r="I60" s="1">
        <v>1</v>
      </c>
      <c r="J60" s="1">
        <v>0</v>
      </c>
      <c r="K60" s="1">
        <v>1</v>
      </c>
      <c r="L60" s="1">
        <v>0</v>
      </c>
      <c r="M60" s="1">
        <v>1</v>
      </c>
      <c r="N60" s="1">
        <v>0</v>
      </c>
      <c r="O60" s="1">
        <v>1</v>
      </c>
      <c r="P60" s="1">
        <v>1</v>
      </c>
      <c r="Q60" s="1">
        <v>0</v>
      </c>
      <c r="R60">
        <f t="shared" si="6"/>
        <v>66.666666666666657</v>
      </c>
    </row>
    <row r="61" spans="1:42" x14ac:dyDescent="0.35">
      <c r="A61" s="2">
        <v>6</v>
      </c>
      <c r="B61" s="3" t="s">
        <v>6</v>
      </c>
      <c r="C61" s="1">
        <v>1</v>
      </c>
      <c r="D61" s="1">
        <v>1</v>
      </c>
      <c r="E61" s="1">
        <v>1</v>
      </c>
      <c r="F61" s="1">
        <v>1</v>
      </c>
      <c r="G61" s="1">
        <v>1</v>
      </c>
      <c r="H61" s="1">
        <v>0</v>
      </c>
      <c r="I61" s="1">
        <v>1</v>
      </c>
      <c r="J61" s="1">
        <v>1</v>
      </c>
      <c r="K61" s="1">
        <v>0</v>
      </c>
      <c r="L61" s="1">
        <v>1</v>
      </c>
      <c r="M61" s="1">
        <v>1</v>
      </c>
      <c r="N61" s="1">
        <v>1</v>
      </c>
      <c r="O61" s="1">
        <v>1</v>
      </c>
      <c r="P61" s="1">
        <v>1</v>
      </c>
      <c r="Q61" s="1">
        <v>1</v>
      </c>
      <c r="R61">
        <f t="shared" si="6"/>
        <v>86.666666666666671</v>
      </c>
    </row>
    <row r="62" spans="1:42" x14ac:dyDescent="0.35">
      <c r="A62" s="2">
        <v>7</v>
      </c>
      <c r="B62" s="3" t="s">
        <v>7</v>
      </c>
      <c r="C62" s="1">
        <v>0</v>
      </c>
      <c r="D62" s="1">
        <v>1</v>
      </c>
      <c r="E62" s="1">
        <v>1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  <c r="L62" s="1">
        <v>1</v>
      </c>
      <c r="M62" s="1">
        <v>1</v>
      </c>
      <c r="N62" s="1">
        <v>1</v>
      </c>
      <c r="O62" s="1">
        <v>1</v>
      </c>
      <c r="P62" s="1">
        <v>1</v>
      </c>
      <c r="Q62" s="1">
        <v>1</v>
      </c>
      <c r="R62">
        <f t="shared" si="6"/>
        <v>93.333333333333329</v>
      </c>
    </row>
    <row r="63" spans="1:42" x14ac:dyDescent="0.35">
      <c r="A63" s="2">
        <v>8</v>
      </c>
      <c r="B63" s="3" t="s">
        <v>8</v>
      </c>
      <c r="C63" s="1">
        <v>1</v>
      </c>
      <c r="D63" s="1">
        <v>0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  <c r="M63" s="1">
        <v>0</v>
      </c>
      <c r="N63" s="1">
        <v>1</v>
      </c>
      <c r="O63" s="1">
        <v>1</v>
      </c>
      <c r="P63" s="1">
        <v>1</v>
      </c>
      <c r="Q63" s="1">
        <v>1</v>
      </c>
      <c r="R63">
        <f t="shared" si="6"/>
        <v>86.666666666666671</v>
      </c>
    </row>
    <row r="64" spans="1:42" x14ac:dyDescent="0.35">
      <c r="A64" s="2">
        <v>9</v>
      </c>
      <c r="B64" s="3" t="s">
        <v>9</v>
      </c>
      <c r="C64" s="1">
        <v>1</v>
      </c>
      <c r="D64" s="1">
        <v>1</v>
      </c>
      <c r="E64" s="1">
        <v>1</v>
      </c>
      <c r="F64" s="1">
        <v>1</v>
      </c>
      <c r="G64" s="1">
        <v>0</v>
      </c>
      <c r="H64" s="1">
        <v>1</v>
      </c>
      <c r="I64" s="1">
        <v>1</v>
      </c>
      <c r="J64" s="1">
        <v>1</v>
      </c>
      <c r="K64" s="1">
        <v>1</v>
      </c>
      <c r="L64" s="1">
        <v>1</v>
      </c>
      <c r="M64" s="1">
        <v>1</v>
      </c>
      <c r="N64" s="1">
        <v>1</v>
      </c>
      <c r="O64" s="1">
        <v>0</v>
      </c>
      <c r="P64" s="1">
        <v>1</v>
      </c>
      <c r="Q64" s="1">
        <v>1</v>
      </c>
      <c r="R64">
        <f t="shared" si="6"/>
        <v>86.666666666666671</v>
      </c>
    </row>
    <row r="65" spans="1:18" x14ac:dyDescent="0.35">
      <c r="A65" s="2">
        <v>10</v>
      </c>
      <c r="B65" s="3" t="s">
        <v>10</v>
      </c>
      <c r="C65" s="1">
        <v>1</v>
      </c>
      <c r="D65" s="1">
        <v>1</v>
      </c>
      <c r="E65" s="1">
        <v>1</v>
      </c>
      <c r="F65" s="1">
        <v>0</v>
      </c>
      <c r="G65" s="1">
        <v>1</v>
      </c>
      <c r="H65" s="1">
        <v>1</v>
      </c>
      <c r="I65" s="1">
        <v>1</v>
      </c>
      <c r="J65" s="1">
        <v>1</v>
      </c>
      <c r="K65" s="1">
        <v>0</v>
      </c>
      <c r="L65" s="1">
        <v>0</v>
      </c>
      <c r="M65" s="1">
        <v>1</v>
      </c>
      <c r="N65" s="1">
        <v>1</v>
      </c>
      <c r="O65" s="1">
        <v>1</v>
      </c>
      <c r="P65" s="1">
        <v>1</v>
      </c>
      <c r="Q65" s="1">
        <v>1</v>
      </c>
      <c r="R65">
        <f t="shared" si="6"/>
        <v>80</v>
      </c>
    </row>
    <row r="66" spans="1:18" x14ac:dyDescent="0.35">
      <c r="A66" s="2">
        <v>11</v>
      </c>
      <c r="B66" s="3" t="s">
        <v>11</v>
      </c>
      <c r="C66" s="1">
        <v>0</v>
      </c>
      <c r="D66" s="1">
        <v>1</v>
      </c>
      <c r="E66" s="1">
        <v>1</v>
      </c>
      <c r="F66" s="1">
        <v>1</v>
      </c>
      <c r="G66" s="1">
        <v>1</v>
      </c>
      <c r="H66" s="1">
        <v>0</v>
      </c>
      <c r="I66" s="1">
        <v>1</v>
      </c>
      <c r="J66" s="1">
        <v>1</v>
      </c>
      <c r="K66" s="1">
        <v>1</v>
      </c>
      <c r="L66" s="1">
        <v>1</v>
      </c>
      <c r="M66" s="1">
        <v>1</v>
      </c>
      <c r="N66" s="1">
        <v>1</v>
      </c>
      <c r="O66" s="1">
        <v>1</v>
      </c>
      <c r="P66" s="1">
        <v>1</v>
      </c>
      <c r="Q66" s="1">
        <v>0</v>
      </c>
      <c r="R66">
        <f t="shared" si="6"/>
        <v>80</v>
      </c>
    </row>
    <row r="67" spans="1:18" x14ac:dyDescent="0.35">
      <c r="A67" s="2">
        <v>12</v>
      </c>
      <c r="B67" s="3" t="s">
        <v>12</v>
      </c>
      <c r="C67" s="1">
        <v>1</v>
      </c>
      <c r="D67" s="1">
        <v>0</v>
      </c>
      <c r="E67" s="1">
        <v>1</v>
      </c>
      <c r="F67" s="1">
        <v>1</v>
      </c>
      <c r="G67" s="1">
        <v>1</v>
      </c>
      <c r="H67" s="1">
        <v>1</v>
      </c>
      <c r="I67" s="1">
        <v>1</v>
      </c>
      <c r="J67" s="1">
        <v>0</v>
      </c>
      <c r="K67" s="1">
        <v>1</v>
      </c>
      <c r="L67" s="1">
        <v>1</v>
      </c>
      <c r="M67" s="1">
        <v>1</v>
      </c>
      <c r="N67" s="1">
        <v>1</v>
      </c>
      <c r="O67" s="1">
        <v>1</v>
      </c>
      <c r="P67" s="1">
        <v>1</v>
      </c>
      <c r="Q67" s="1">
        <v>1</v>
      </c>
      <c r="R67">
        <f t="shared" si="6"/>
        <v>86.666666666666671</v>
      </c>
    </row>
    <row r="68" spans="1:18" x14ac:dyDescent="0.35">
      <c r="A68" s="2">
        <v>13</v>
      </c>
      <c r="B68" s="3" t="s">
        <v>13</v>
      </c>
      <c r="C68" s="1">
        <v>1</v>
      </c>
      <c r="D68" s="1">
        <v>1</v>
      </c>
      <c r="E68" s="1">
        <v>1</v>
      </c>
      <c r="F68" s="1">
        <v>1</v>
      </c>
      <c r="G68" s="1">
        <v>0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  <c r="M68" s="1">
        <v>1</v>
      </c>
      <c r="N68" s="1">
        <v>1</v>
      </c>
      <c r="O68" s="1">
        <v>1</v>
      </c>
      <c r="P68" s="1">
        <v>1</v>
      </c>
      <c r="Q68" s="1">
        <v>1</v>
      </c>
      <c r="R68">
        <f t="shared" si="6"/>
        <v>93.333333333333329</v>
      </c>
    </row>
    <row r="69" spans="1:18" x14ac:dyDescent="0.35">
      <c r="A69" s="2">
        <v>14</v>
      </c>
      <c r="B69" s="3" t="s">
        <v>14</v>
      </c>
      <c r="C69" s="1">
        <v>1</v>
      </c>
      <c r="D69" s="1">
        <v>1</v>
      </c>
      <c r="E69" s="1">
        <v>1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  <c r="K69" s="1">
        <v>0</v>
      </c>
      <c r="L69" s="1">
        <v>1</v>
      </c>
      <c r="M69" s="1">
        <v>1</v>
      </c>
      <c r="N69" s="1">
        <v>1</v>
      </c>
      <c r="O69" s="1">
        <v>0</v>
      </c>
      <c r="P69" s="1">
        <v>1</v>
      </c>
      <c r="Q69" s="1">
        <v>0</v>
      </c>
      <c r="R69">
        <f t="shared" si="6"/>
        <v>80</v>
      </c>
    </row>
    <row r="70" spans="1:18" x14ac:dyDescent="0.35">
      <c r="A70" s="2">
        <v>15</v>
      </c>
      <c r="B70" s="3" t="s">
        <v>15</v>
      </c>
      <c r="C70" s="1">
        <v>1</v>
      </c>
      <c r="D70" s="1">
        <v>1</v>
      </c>
      <c r="E70" s="1">
        <v>1</v>
      </c>
      <c r="F70" s="1">
        <v>1</v>
      </c>
      <c r="G70" s="1">
        <v>0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1</v>
      </c>
      <c r="N70" s="1">
        <v>1</v>
      </c>
      <c r="O70" s="1">
        <v>1</v>
      </c>
      <c r="P70" s="1">
        <v>1</v>
      </c>
      <c r="Q70" s="1">
        <v>1</v>
      </c>
      <c r="R70">
        <f t="shared" si="6"/>
        <v>93.333333333333329</v>
      </c>
    </row>
    <row r="71" spans="1:18" x14ac:dyDescent="0.35">
      <c r="A71" s="2">
        <v>16</v>
      </c>
      <c r="B71" s="3" t="s">
        <v>16</v>
      </c>
      <c r="C71" s="1">
        <v>0</v>
      </c>
      <c r="D71" s="1">
        <v>1</v>
      </c>
      <c r="E71" s="1">
        <v>0</v>
      </c>
      <c r="F71" s="1">
        <v>1</v>
      </c>
      <c r="G71" s="1">
        <v>1</v>
      </c>
      <c r="H71" s="1">
        <v>0</v>
      </c>
      <c r="I71" s="1">
        <v>1</v>
      </c>
      <c r="J71" s="1">
        <v>1</v>
      </c>
      <c r="K71" s="1">
        <v>1</v>
      </c>
      <c r="L71" s="1">
        <v>1</v>
      </c>
      <c r="M71" s="1">
        <v>0</v>
      </c>
      <c r="N71" s="1">
        <v>1</v>
      </c>
      <c r="O71" s="1">
        <v>1</v>
      </c>
      <c r="P71" s="1">
        <v>1</v>
      </c>
      <c r="Q71" s="1">
        <v>1</v>
      </c>
      <c r="R71">
        <f t="shared" si="6"/>
        <v>73.333333333333329</v>
      </c>
    </row>
    <row r="72" spans="1:18" x14ac:dyDescent="0.35">
      <c r="A72" s="2">
        <v>17</v>
      </c>
      <c r="B72" s="3" t="s">
        <v>17</v>
      </c>
      <c r="C72" s="1">
        <v>1</v>
      </c>
      <c r="D72" s="1">
        <v>0</v>
      </c>
      <c r="E72" s="1">
        <v>1</v>
      </c>
      <c r="F72" s="1">
        <v>1</v>
      </c>
      <c r="G72" s="1">
        <v>1</v>
      </c>
      <c r="H72" s="1">
        <v>1</v>
      </c>
      <c r="I72" s="1">
        <v>1</v>
      </c>
      <c r="J72" s="1">
        <v>0</v>
      </c>
      <c r="K72" s="1">
        <v>0</v>
      </c>
      <c r="L72" s="1">
        <v>1</v>
      </c>
      <c r="M72" s="1">
        <v>1</v>
      </c>
      <c r="N72" s="1">
        <v>1</v>
      </c>
      <c r="O72" s="1">
        <v>1</v>
      </c>
      <c r="P72" s="1">
        <v>1</v>
      </c>
      <c r="Q72" s="1">
        <v>1</v>
      </c>
      <c r="R72">
        <f t="shared" si="6"/>
        <v>80</v>
      </c>
    </row>
    <row r="73" spans="1:18" x14ac:dyDescent="0.35">
      <c r="A73" s="2">
        <v>18</v>
      </c>
      <c r="B73" s="3" t="s">
        <v>18</v>
      </c>
      <c r="C73" s="1">
        <v>1</v>
      </c>
      <c r="D73" s="1">
        <v>1</v>
      </c>
      <c r="E73" s="1">
        <v>1</v>
      </c>
      <c r="F73" s="1">
        <v>1</v>
      </c>
      <c r="G73" s="1">
        <v>0</v>
      </c>
      <c r="H73" s="1">
        <v>1</v>
      </c>
      <c r="I73" s="1">
        <v>0</v>
      </c>
      <c r="J73" s="1">
        <v>1</v>
      </c>
      <c r="K73" s="1">
        <v>1</v>
      </c>
      <c r="L73" s="1">
        <v>0</v>
      </c>
      <c r="M73" s="1">
        <v>1</v>
      </c>
      <c r="N73" s="1">
        <v>0</v>
      </c>
      <c r="O73" s="1">
        <v>1</v>
      </c>
      <c r="P73" s="1">
        <v>1</v>
      </c>
      <c r="Q73" s="1">
        <v>1</v>
      </c>
      <c r="R73">
        <f t="shared" si="6"/>
        <v>73.333333333333329</v>
      </c>
    </row>
    <row r="74" spans="1:18" x14ac:dyDescent="0.35">
      <c r="A74" s="2">
        <v>19</v>
      </c>
      <c r="B74" s="3" t="s">
        <v>19</v>
      </c>
      <c r="C74" s="1">
        <v>1</v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  <c r="M74" s="1">
        <v>1</v>
      </c>
      <c r="N74" s="1">
        <v>1</v>
      </c>
      <c r="O74" s="1">
        <v>1</v>
      </c>
      <c r="P74" s="1">
        <v>1</v>
      </c>
      <c r="Q74" s="1">
        <v>0</v>
      </c>
      <c r="R74">
        <f>AVERAGE(C74:Q74)</f>
        <v>0.93333333333333335</v>
      </c>
    </row>
    <row r="75" spans="1:18" x14ac:dyDescent="0.35">
      <c r="A75" s="2">
        <v>20</v>
      </c>
      <c r="B75" s="3" t="s">
        <v>20</v>
      </c>
      <c r="C75" s="1">
        <v>1</v>
      </c>
      <c r="D75" s="1">
        <v>1</v>
      </c>
      <c r="E75" s="1">
        <v>1</v>
      </c>
      <c r="F75" s="1">
        <v>0</v>
      </c>
      <c r="G75" s="1">
        <v>1</v>
      </c>
      <c r="H75" s="1">
        <v>0</v>
      </c>
      <c r="I75" s="1">
        <v>1</v>
      </c>
      <c r="J75" s="1">
        <v>1</v>
      </c>
      <c r="K75" s="1">
        <v>1</v>
      </c>
      <c r="L75" s="1">
        <v>1</v>
      </c>
      <c r="M75" s="1">
        <v>1</v>
      </c>
      <c r="N75" s="1">
        <v>1</v>
      </c>
      <c r="O75" s="1">
        <v>1</v>
      </c>
      <c r="P75" s="1">
        <v>1</v>
      </c>
      <c r="Q75" s="1">
        <v>1</v>
      </c>
      <c r="R75">
        <f>AVERAGE(C75:Q75)</f>
        <v>0.8666666666666667</v>
      </c>
    </row>
    <row r="76" spans="1:18" x14ac:dyDescent="0.35">
      <c r="A76" s="2">
        <v>21</v>
      </c>
      <c r="B76" s="3" t="s">
        <v>21</v>
      </c>
      <c r="C76" s="1">
        <v>1</v>
      </c>
      <c r="D76" s="1">
        <v>0</v>
      </c>
      <c r="E76" s="1">
        <v>1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  <c r="K76" s="1">
        <v>0</v>
      </c>
      <c r="L76" s="1">
        <v>1</v>
      </c>
      <c r="M76" s="1">
        <v>1</v>
      </c>
      <c r="N76" s="1">
        <v>1</v>
      </c>
      <c r="O76" s="1">
        <v>1</v>
      </c>
      <c r="P76" s="1">
        <v>1</v>
      </c>
      <c r="Q76" s="1">
        <v>1</v>
      </c>
      <c r="R76">
        <f>AVERAGE(C76:Q76)</f>
        <v>0.8666666666666667</v>
      </c>
    </row>
    <row r="77" spans="1:18" x14ac:dyDescent="0.35">
      <c r="A77" s="2">
        <v>22</v>
      </c>
      <c r="B77" s="3" t="s">
        <v>22</v>
      </c>
      <c r="C77" s="1">
        <v>0</v>
      </c>
      <c r="D77" s="1">
        <v>1</v>
      </c>
      <c r="E77" s="1">
        <v>1</v>
      </c>
      <c r="F77" s="1">
        <v>1</v>
      </c>
      <c r="G77" s="1">
        <v>0</v>
      </c>
      <c r="H77" s="1">
        <v>1</v>
      </c>
      <c r="I77" s="1">
        <v>1</v>
      </c>
      <c r="J77" s="1">
        <v>0</v>
      </c>
      <c r="K77" s="1">
        <v>1</v>
      </c>
      <c r="L77" s="1">
        <v>1</v>
      </c>
      <c r="M77" s="1">
        <v>1</v>
      </c>
      <c r="N77" s="1">
        <v>1</v>
      </c>
      <c r="O77" s="1">
        <v>1</v>
      </c>
      <c r="P77" s="1">
        <v>1</v>
      </c>
      <c r="Q77" s="1">
        <v>1</v>
      </c>
      <c r="R77">
        <f t="shared" ref="R77:R99" si="7">AVERAGE(C77:Q77)*100</f>
        <v>80</v>
      </c>
    </row>
    <row r="78" spans="1:18" x14ac:dyDescent="0.35">
      <c r="A78" s="2">
        <v>23</v>
      </c>
      <c r="B78" s="3" t="s">
        <v>23</v>
      </c>
      <c r="C78" s="1">
        <v>1</v>
      </c>
      <c r="D78" s="1">
        <v>1</v>
      </c>
      <c r="E78" s="1">
        <v>0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  <c r="L78" s="1">
        <v>1</v>
      </c>
      <c r="M78" s="1">
        <v>1</v>
      </c>
      <c r="N78" s="1">
        <v>1</v>
      </c>
      <c r="O78" s="1">
        <v>1</v>
      </c>
      <c r="P78" s="1">
        <v>1</v>
      </c>
      <c r="Q78" s="1">
        <v>1</v>
      </c>
      <c r="R78">
        <f t="shared" si="7"/>
        <v>93.333333333333329</v>
      </c>
    </row>
    <row r="79" spans="1:18" x14ac:dyDescent="0.35">
      <c r="A79" s="2">
        <v>24</v>
      </c>
      <c r="B79" s="3" t="s">
        <v>24</v>
      </c>
      <c r="C79" s="1">
        <v>1</v>
      </c>
      <c r="D79" s="1">
        <v>0</v>
      </c>
      <c r="E79" s="1">
        <v>1</v>
      </c>
      <c r="F79" s="1">
        <v>1</v>
      </c>
      <c r="G79" s="1">
        <v>1</v>
      </c>
      <c r="H79" s="1">
        <v>0</v>
      </c>
      <c r="I79" s="1">
        <v>1</v>
      </c>
      <c r="J79" s="1">
        <v>1</v>
      </c>
      <c r="K79" s="1">
        <v>1</v>
      </c>
      <c r="L79" s="1">
        <v>1</v>
      </c>
      <c r="M79" s="1">
        <v>1</v>
      </c>
      <c r="N79" s="1">
        <v>1</v>
      </c>
      <c r="O79" s="1">
        <v>1</v>
      </c>
      <c r="P79" s="1">
        <v>1</v>
      </c>
      <c r="Q79" s="1">
        <v>0</v>
      </c>
      <c r="R79">
        <f t="shared" si="7"/>
        <v>80</v>
      </c>
    </row>
    <row r="80" spans="1:18" x14ac:dyDescent="0.35">
      <c r="A80" s="2">
        <v>25</v>
      </c>
      <c r="B80" s="3" t="s">
        <v>25</v>
      </c>
      <c r="C80" s="1">
        <v>1</v>
      </c>
      <c r="D80" s="1">
        <v>1</v>
      </c>
      <c r="E80" s="1">
        <v>1</v>
      </c>
      <c r="F80" s="1">
        <v>1</v>
      </c>
      <c r="G80" s="1">
        <v>1</v>
      </c>
      <c r="H80" s="1">
        <v>1</v>
      </c>
      <c r="I80" s="1">
        <v>0</v>
      </c>
      <c r="J80" s="1">
        <v>1</v>
      </c>
      <c r="K80" s="1">
        <v>0</v>
      </c>
      <c r="L80" s="1">
        <v>1</v>
      </c>
      <c r="M80" s="1">
        <v>1</v>
      </c>
      <c r="N80" s="1">
        <v>1</v>
      </c>
      <c r="O80" s="1">
        <v>1</v>
      </c>
      <c r="P80" s="1">
        <v>1</v>
      </c>
      <c r="Q80" s="1">
        <v>1</v>
      </c>
      <c r="R80">
        <f t="shared" si="7"/>
        <v>86.666666666666671</v>
      </c>
    </row>
    <row r="81" spans="1:18" x14ac:dyDescent="0.35">
      <c r="A81" s="2">
        <v>26</v>
      </c>
      <c r="B81" s="3" t="s">
        <v>26</v>
      </c>
      <c r="C81" s="1">
        <v>1</v>
      </c>
      <c r="D81" s="1">
        <v>1</v>
      </c>
      <c r="E81" s="1">
        <v>1</v>
      </c>
      <c r="F81" s="1">
        <v>1</v>
      </c>
      <c r="G81" s="1">
        <v>0</v>
      </c>
      <c r="H81" s="1">
        <v>1</v>
      </c>
      <c r="I81" s="1">
        <v>1</v>
      </c>
      <c r="J81" s="1">
        <v>1</v>
      </c>
      <c r="K81" s="1">
        <v>1</v>
      </c>
      <c r="L81" s="1">
        <v>1</v>
      </c>
      <c r="M81" s="1">
        <v>1</v>
      </c>
      <c r="N81" s="1">
        <v>0</v>
      </c>
      <c r="O81" s="1">
        <v>1</v>
      </c>
      <c r="P81" s="1">
        <v>1</v>
      </c>
      <c r="Q81" s="1">
        <v>1</v>
      </c>
      <c r="R81">
        <f t="shared" si="7"/>
        <v>86.666666666666671</v>
      </c>
    </row>
    <row r="82" spans="1:18" x14ac:dyDescent="0.35">
      <c r="A82" s="2">
        <v>27</v>
      </c>
      <c r="B82" s="3" t="s">
        <v>27</v>
      </c>
      <c r="C82" s="1">
        <v>1</v>
      </c>
      <c r="D82" s="1">
        <v>1</v>
      </c>
      <c r="E82" s="1">
        <v>1</v>
      </c>
      <c r="F82" s="1">
        <v>1</v>
      </c>
      <c r="G82" s="1">
        <v>1</v>
      </c>
      <c r="H82" s="1">
        <v>1</v>
      </c>
      <c r="I82" s="1">
        <v>1</v>
      </c>
      <c r="J82" s="1">
        <v>1</v>
      </c>
      <c r="K82" s="1">
        <v>1</v>
      </c>
      <c r="L82" s="1">
        <v>1</v>
      </c>
      <c r="M82" s="1">
        <v>1</v>
      </c>
      <c r="N82" s="1">
        <v>1</v>
      </c>
      <c r="O82" s="1">
        <v>1</v>
      </c>
      <c r="P82" s="1">
        <v>1</v>
      </c>
      <c r="Q82" s="1">
        <v>1</v>
      </c>
      <c r="R82">
        <f t="shared" si="7"/>
        <v>100</v>
      </c>
    </row>
    <row r="83" spans="1:18" x14ac:dyDescent="0.35">
      <c r="A83" s="2">
        <v>28</v>
      </c>
      <c r="B83" s="3" t="s">
        <v>28</v>
      </c>
      <c r="C83" s="1">
        <v>1</v>
      </c>
      <c r="D83" s="1">
        <v>0</v>
      </c>
      <c r="E83" s="1">
        <v>1</v>
      </c>
      <c r="F83" s="1">
        <v>0</v>
      </c>
      <c r="G83" s="1">
        <v>0</v>
      </c>
      <c r="H83" s="1">
        <v>0</v>
      </c>
      <c r="I83" s="1">
        <v>1</v>
      </c>
      <c r="J83" s="1">
        <v>0</v>
      </c>
      <c r="K83" s="1">
        <v>0</v>
      </c>
      <c r="L83" s="1">
        <v>1</v>
      </c>
      <c r="M83" s="1">
        <v>0</v>
      </c>
      <c r="N83" s="1">
        <v>1</v>
      </c>
      <c r="O83" s="1">
        <v>1</v>
      </c>
      <c r="P83" s="1">
        <v>1</v>
      </c>
      <c r="Q83" s="1">
        <v>1</v>
      </c>
      <c r="R83">
        <f t="shared" si="7"/>
        <v>53.333333333333336</v>
      </c>
    </row>
    <row r="84" spans="1:18" x14ac:dyDescent="0.35">
      <c r="A84" s="2">
        <v>29</v>
      </c>
      <c r="B84" s="3" t="s">
        <v>29</v>
      </c>
      <c r="C84" s="1">
        <v>1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0</v>
      </c>
      <c r="R84">
        <f t="shared" si="7"/>
        <v>93.333333333333329</v>
      </c>
    </row>
    <row r="85" spans="1:18" x14ac:dyDescent="0.35">
      <c r="A85" s="2">
        <v>30</v>
      </c>
      <c r="B85" s="3" t="s">
        <v>30</v>
      </c>
      <c r="C85" s="1">
        <v>1</v>
      </c>
      <c r="D85" s="1">
        <v>1</v>
      </c>
      <c r="E85" s="1">
        <v>1</v>
      </c>
      <c r="F85" s="1">
        <v>1</v>
      </c>
      <c r="G85" s="1">
        <v>1</v>
      </c>
      <c r="H85" s="1">
        <v>1</v>
      </c>
      <c r="I85" s="1">
        <v>1</v>
      </c>
      <c r="J85" s="1">
        <v>1</v>
      </c>
      <c r="K85" s="1">
        <v>1</v>
      </c>
      <c r="L85" s="1">
        <v>1</v>
      </c>
      <c r="M85" s="1">
        <v>1</v>
      </c>
      <c r="N85" s="1">
        <v>1</v>
      </c>
      <c r="O85" s="1">
        <v>1</v>
      </c>
      <c r="P85" s="1">
        <v>1</v>
      </c>
      <c r="Q85" s="1">
        <v>1</v>
      </c>
      <c r="R85">
        <f t="shared" si="7"/>
        <v>100</v>
      </c>
    </row>
    <row r="86" spans="1:18" x14ac:dyDescent="0.35">
      <c r="A86" s="2">
        <v>31</v>
      </c>
      <c r="B86" s="3" t="s">
        <v>31</v>
      </c>
      <c r="C86" s="1">
        <v>1</v>
      </c>
      <c r="D86" s="1">
        <v>1</v>
      </c>
      <c r="E86" s="1">
        <v>1</v>
      </c>
      <c r="F86" s="1">
        <v>1</v>
      </c>
      <c r="G86" s="1">
        <v>0</v>
      </c>
      <c r="H86" s="1">
        <v>1</v>
      </c>
      <c r="I86" s="1">
        <v>1</v>
      </c>
      <c r="J86" s="1">
        <v>1</v>
      </c>
      <c r="K86" s="1">
        <v>1</v>
      </c>
      <c r="L86" s="1">
        <v>0</v>
      </c>
      <c r="M86" s="1">
        <v>1</v>
      </c>
      <c r="N86" s="1">
        <v>1</v>
      </c>
      <c r="O86" s="1">
        <v>1</v>
      </c>
      <c r="P86" s="1">
        <v>1</v>
      </c>
      <c r="Q86" s="1">
        <v>1</v>
      </c>
      <c r="R86">
        <f t="shared" si="7"/>
        <v>86.666666666666671</v>
      </c>
    </row>
    <row r="87" spans="1:18" x14ac:dyDescent="0.35">
      <c r="A87" s="2">
        <v>32</v>
      </c>
      <c r="B87" s="3" t="s">
        <v>32</v>
      </c>
      <c r="C87" s="1">
        <v>1</v>
      </c>
      <c r="D87" s="1">
        <v>1</v>
      </c>
      <c r="E87" s="1">
        <v>1</v>
      </c>
      <c r="F87" s="1">
        <v>1</v>
      </c>
      <c r="G87" s="1">
        <v>1</v>
      </c>
      <c r="H87" s="1">
        <v>1</v>
      </c>
      <c r="I87" s="1">
        <v>0</v>
      </c>
      <c r="J87" s="1">
        <v>1</v>
      </c>
      <c r="K87" s="1">
        <v>1</v>
      </c>
      <c r="L87" s="1">
        <v>1</v>
      </c>
      <c r="M87" s="1">
        <v>1</v>
      </c>
      <c r="N87" s="1">
        <v>1</v>
      </c>
      <c r="O87" s="1">
        <v>1</v>
      </c>
      <c r="P87" s="1">
        <v>1</v>
      </c>
      <c r="Q87" s="1">
        <v>0</v>
      </c>
      <c r="R87">
        <f t="shared" si="7"/>
        <v>86.666666666666671</v>
      </c>
    </row>
    <row r="88" spans="1:18" x14ac:dyDescent="0.35">
      <c r="A88" s="2">
        <v>33</v>
      </c>
      <c r="B88" s="3" t="s">
        <v>33</v>
      </c>
      <c r="C88" s="1">
        <v>1</v>
      </c>
      <c r="D88" s="1">
        <v>1</v>
      </c>
      <c r="E88" s="1">
        <v>1</v>
      </c>
      <c r="F88" s="1">
        <v>1</v>
      </c>
      <c r="G88" s="6">
        <v>1</v>
      </c>
      <c r="H88" s="1">
        <v>0</v>
      </c>
      <c r="I88" s="1">
        <v>1</v>
      </c>
      <c r="J88" s="1">
        <v>0</v>
      </c>
      <c r="K88" s="1">
        <v>1</v>
      </c>
      <c r="L88" s="1">
        <v>1</v>
      </c>
      <c r="M88" s="1">
        <v>1</v>
      </c>
      <c r="N88" s="1">
        <v>1</v>
      </c>
      <c r="O88" s="1">
        <v>1</v>
      </c>
      <c r="P88" s="1">
        <v>1</v>
      </c>
      <c r="Q88" s="1">
        <v>1</v>
      </c>
      <c r="R88">
        <f t="shared" si="7"/>
        <v>86.666666666666671</v>
      </c>
    </row>
    <row r="89" spans="1:18" x14ac:dyDescent="0.35">
      <c r="A89" s="2">
        <v>34</v>
      </c>
      <c r="B89" s="3" t="s">
        <v>34</v>
      </c>
      <c r="C89" s="1">
        <v>1</v>
      </c>
      <c r="D89" s="1">
        <v>1</v>
      </c>
      <c r="E89" s="1">
        <v>1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  <c r="K89" s="1">
        <v>1</v>
      </c>
      <c r="L89" s="1">
        <v>1</v>
      </c>
      <c r="M89" s="1">
        <v>1</v>
      </c>
      <c r="N89" s="1">
        <v>1</v>
      </c>
      <c r="O89" s="1">
        <v>1</v>
      </c>
      <c r="P89" s="1">
        <v>1</v>
      </c>
      <c r="Q89" s="1">
        <v>1</v>
      </c>
      <c r="R89">
        <f t="shared" si="7"/>
        <v>100</v>
      </c>
    </row>
    <row r="90" spans="1:18" x14ac:dyDescent="0.35">
      <c r="A90" s="2">
        <v>35</v>
      </c>
      <c r="B90" s="3" t="s">
        <v>35</v>
      </c>
      <c r="C90" s="1">
        <v>1</v>
      </c>
      <c r="D90" s="1">
        <v>1</v>
      </c>
      <c r="E90" s="1">
        <v>1</v>
      </c>
      <c r="F90" s="1">
        <v>1</v>
      </c>
      <c r="G90" s="1">
        <v>0</v>
      </c>
      <c r="H90" s="1">
        <v>1</v>
      </c>
      <c r="I90" s="1">
        <v>1</v>
      </c>
      <c r="J90" s="1">
        <v>1</v>
      </c>
      <c r="K90" s="1">
        <v>1</v>
      </c>
      <c r="L90" s="1">
        <v>1</v>
      </c>
      <c r="M90" s="1">
        <v>1</v>
      </c>
      <c r="N90" s="1">
        <v>1</v>
      </c>
      <c r="O90" s="1">
        <v>1</v>
      </c>
      <c r="P90" s="1">
        <v>1</v>
      </c>
      <c r="Q90" s="1">
        <v>0</v>
      </c>
      <c r="R90">
        <f t="shared" si="7"/>
        <v>86.666666666666671</v>
      </c>
    </row>
    <row r="91" spans="1:18" x14ac:dyDescent="0.35">
      <c r="A91" s="2">
        <v>36</v>
      </c>
      <c r="B91" s="3" t="s">
        <v>36</v>
      </c>
      <c r="C91" s="1">
        <v>1</v>
      </c>
      <c r="D91" s="1">
        <v>1</v>
      </c>
      <c r="E91" s="1">
        <v>1</v>
      </c>
      <c r="F91" s="1">
        <v>0</v>
      </c>
      <c r="G91" s="1">
        <v>1</v>
      </c>
      <c r="H91" s="1">
        <v>1</v>
      </c>
      <c r="I91" s="1">
        <v>1</v>
      </c>
      <c r="J91" s="1">
        <v>1</v>
      </c>
      <c r="K91" s="1">
        <v>1</v>
      </c>
      <c r="L91" s="1">
        <v>1</v>
      </c>
      <c r="M91" s="1">
        <v>1</v>
      </c>
      <c r="N91" s="1">
        <v>1</v>
      </c>
      <c r="O91" s="1">
        <v>1</v>
      </c>
      <c r="P91" s="1">
        <v>1</v>
      </c>
      <c r="Q91" s="1">
        <v>1</v>
      </c>
      <c r="R91">
        <f t="shared" si="7"/>
        <v>93.333333333333329</v>
      </c>
    </row>
    <row r="92" spans="1:18" x14ac:dyDescent="0.35">
      <c r="A92" s="2">
        <v>37</v>
      </c>
      <c r="B92" s="3" t="s">
        <v>37</v>
      </c>
      <c r="C92" s="1">
        <v>1</v>
      </c>
      <c r="D92" s="1">
        <v>1</v>
      </c>
      <c r="E92" s="1">
        <v>1</v>
      </c>
      <c r="F92" s="1">
        <v>1</v>
      </c>
      <c r="G92" s="1">
        <v>1</v>
      </c>
      <c r="H92" s="1">
        <v>1</v>
      </c>
      <c r="I92" s="1">
        <v>1</v>
      </c>
      <c r="J92" s="1">
        <v>0</v>
      </c>
      <c r="K92" s="1">
        <v>1</v>
      </c>
      <c r="L92" s="1">
        <v>1</v>
      </c>
      <c r="M92" s="1">
        <v>1</v>
      </c>
      <c r="N92" s="1">
        <v>1</v>
      </c>
      <c r="O92" s="1">
        <v>1</v>
      </c>
      <c r="P92" s="1">
        <v>1</v>
      </c>
      <c r="Q92" s="1">
        <v>1</v>
      </c>
      <c r="R92">
        <f t="shared" si="7"/>
        <v>93.333333333333329</v>
      </c>
    </row>
    <row r="93" spans="1:18" x14ac:dyDescent="0.35">
      <c r="A93" s="2">
        <v>38</v>
      </c>
      <c r="B93" s="3" t="s">
        <v>38</v>
      </c>
      <c r="C93" s="1">
        <v>1</v>
      </c>
      <c r="D93" s="1">
        <v>1</v>
      </c>
      <c r="E93" s="1">
        <v>1</v>
      </c>
      <c r="F93" s="1">
        <v>1</v>
      </c>
      <c r="G93" s="1">
        <v>1</v>
      </c>
      <c r="H93" s="1">
        <v>0</v>
      </c>
      <c r="I93" s="1">
        <v>1</v>
      </c>
      <c r="J93" s="1">
        <v>1</v>
      </c>
      <c r="K93" s="1">
        <v>1</v>
      </c>
      <c r="L93" s="1">
        <v>1</v>
      </c>
      <c r="M93" s="1">
        <v>1</v>
      </c>
      <c r="N93" s="1">
        <v>1</v>
      </c>
      <c r="O93" s="1">
        <v>1</v>
      </c>
      <c r="P93" s="1">
        <v>1</v>
      </c>
      <c r="Q93" s="1">
        <v>1</v>
      </c>
      <c r="R93">
        <f t="shared" si="7"/>
        <v>93.333333333333329</v>
      </c>
    </row>
    <row r="94" spans="1:18" x14ac:dyDescent="0.35">
      <c r="A94" s="2">
        <v>39</v>
      </c>
      <c r="B94" s="3" t="s">
        <v>39</v>
      </c>
      <c r="C94" s="1">
        <v>1</v>
      </c>
      <c r="D94" s="1">
        <v>1</v>
      </c>
      <c r="E94" s="1">
        <v>1</v>
      </c>
      <c r="F94" s="1">
        <v>1</v>
      </c>
      <c r="G94" s="1">
        <v>0</v>
      </c>
      <c r="H94" s="1">
        <v>1</v>
      </c>
      <c r="I94" s="1">
        <v>1</v>
      </c>
      <c r="J94" s="1">
        <v>1</v>
      </c>
      <c r="K94" s="1">
        <v>1</v>
      </c>
      <c r="L94" s="1">
        <v>1</v>
      </c>
      <c r="M94" s="1">
        <v>1</v>
      </c>
      <c r="N94" s="1">
        <v>1</v>
      </c>
      <c r="O94" s="1">
        <v>1</v>
      </c>
      <c r="P94" s="1">
        <v>1</v>
      </c>
      <c r="Q94" s="1">
        <v>1</v>
      </c>
      <c r="R94">
        <f t="shared" si="7"/>
        <v>93.333333333333329</v>
      </c>
    </row>
    <row r="95" spans="1:18" x14ac:dyDescent="0.35">
      <c r="A95" s="2">
        <v>40</v>
      </c>
      <c r="B95" s="3" t="s">
        <v>40</v>
      </c>
      <c r="C95" s="1">
        <v>1</v>
      </c>
      <c r="D95" s="1">
        <v>1</v>
      </c>
      <c r="E95" s="1">
        <v>1</v>
      </c>
      <c r="F95" s="1">
        <v>1</v>
      </c>
      <c r="G95" s="1">
        <v>1</v>
      </c>
      <c r="H95" s="1">
        <v>1</v>
      </c>
      <c r="I95" s="1">
        <v>0</v>
      </c>
      <c r="J95" s="1">
        <v>1</v>
      </c>
      <c r="K95" s="1">
        <v>1</v>
      </c>
      <c r="L95" s="1">
        <v>1</v>
      </c>
      <c r="M95" s="1">
        <v>1</v>
      </c>
      <c r="N95" s="1">
        <v>1</v>
      </c>
      <c r="O95" s="1">
        <v>1</v>
      </c>
      <c r="P95" s="1">
        <v>1</v>
      </c>
      <c r="Q95" s="1">
        <v>0</v>
      </c>
      <c r="R95">
        <f t="shared" si="7"/>
        <v>86.666666666666671</v>
      </c>
    </row>
    <row r="96" spans="1:18" x14ac:dyDescent="0.35">
      <c r="A96" s="2">
        <v>41</v>
      </c>
      <c r="B96" s="3" t="s">
        <v>41</v>
      </c>
      <c r="C96" s="1">
        <v>1</v>
      </c>
      <c r="D96" s="1">
        <v>1</v>
      </c>
      <c r="E96" s="1">
        <v>1</v>
      </c>
      <c r="F96" s="1">
        <v>1</v>
      </c>
      <c r="G96" s="1">
        <v>1</v>
      </c>
      <c r="H96" s="1">
        <v>1</v>
      </c>
      <c r="I96" s="1">
        <v>1</v>
      </c>
      <c r="J96" s="1">
        <v>1</v>
      </c>
      <c r="K96" s="1">
        <v>1</v>
      </c>
      <c r="L96" s="1">
        <v>1</v>
      </c>
      <c r="M96" s="1">
        <v>1</v>
      </c>
      <c r="N96" s="1">
        <v>1</v>
      </c>
      <c r="O96" s="1">
        <v>1</v>
      </c>
      <c r="P96" s="1">
        <v>1</v>
      </c>
      <c r="Q96" s="1">
        <v>1</v>
      </c>
      <c r="R96">
        <f t="shared" si="7"/>
        <v>100</v>
      </c>
    </row>
    <row r="97" spans="1:18" x14ac:dyDescent="0.35">
      <c r="A97" s="2">
        <v>42</v>
      </c>
      <c r="B97" s="3" t="s">
        <v>42</v>
      </c>
      <c r="C97" s="1">
        <v>1</v>
      </c>
      <c r="D97" s="1">
        <v>1</v>
      </c>
      <c r="E97" s="1">
        <v>1</v>
      </c>
      <c r="F97" s="1">
        <v>1</v>
      </c>
      <c r="G97" s="1">
        <v>1</v>
      </c>
      <c r="H97" s="1">
        <v>1</v>
      </c>
      <c r="I97" s="1">
        <v>1</v>
      </c>
      <c r="J97" s="1">
        <v>0</v>
      </c>
      <c r="K97" s="1">
        <v>1</v>
      </c>
      <c r="L97" s="1">
        <v>1</v>
      </c>
      <c r="M97" s="1">
        <v>1</v>
      </c>
      <c r="N97" s="1">
        <v>1</v>
      </c>
      <c r="O97" s="1">
        <v>1</v>
      </c>
      <c r="P97" s="1">
        <v>1</v>
      </c>
      <c r="Q97" s="1">
        <v>1</v>
      </c>
      <c r="R97">
        <f t="shared" si="7"/>
        <v>93.333333333333329</v>
      </c>
    </row>
    <row r="98" spans="1:18" x14ac:dyDescent="0.35">
      <c r="A98" s="2">
        <v>43</v>
      </c>
      <c r="B98" s="3" t="s">
        <v>43</v>
      </c>
      <c r="C98" s="1">
        <v>1</v>
      </c>
      <c r="D98" s="1">
        <v>1</v>
      </c>
      <c r="E98" s="1">
        <v>1</v>
      </c>
      <c r="F98" s="1">
        <v>1</v>
      </c>
      <c r="G98" s="1">
        <v>0</v>
      </c>
      <c r="H98" s="1">
        <v>1</v>
      </c>
      <c r="I98" s="1">
        <v>1</v>
      </c>
      <c r="J98" s="1">
        <v>1</v>
      </c>
      <c r="K98" s="1">
        <v>1</v>
      </c>
      <c r="L98" s="1">
        <v>1</v>
      </c>
      <c r="M98" s="1">
        <v>1</v>
      </c>
      <c r="N98" s="1">
        <v>1</v>
      </c>
      <c r="O98" s="1">
        <v>1</v>
      </c>
      <c r="P98" s="1">
        <v>1</v>
      </c>
      <c r="Q98" s="1">
        <v>1</v>
      </c>
      <c r="R98">
        <f t="shared" si="7"/>
        <v>93.333333333333329</v>
      </c>
    </row>
    <row r="99" spans="1:18" x14ac:dyDescent="0.35">
      <c r="A99" s="2">
        <v>44</v>
      </c>
      <c r="B99" s="3" t="s">
        <v>71</v>
      </c>
      <c r="C99" s="1">
        <v>1</v>
      </c>
      <c r="D99" s="1">
        <v>1</v>
      </c>
      <c r="E99" s="1">
        <v>1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  <c r="M99" s="1">
        <v>1</v>
      </c>
      <c r="N99" s="1">
        <v>1</v>
      </c>
      <c r="O99" s="1">
        <v>1</v>
      </c>
      <c r="P99" s="1">
        <v>1</v>
      </c>
      <c r="Q99" s="1">
        <v>1</v>
      </c>
      <c r="R99">
        <f t="shared" si="7"/>
        <v>100</v>
      </c>
    </row>
    <row r="100" spans="1:18" x14ac:dyDescent="0.35">
      <c r="A100" s="31" t="s">
        <v>119</v>
      </c>
      <c r="B100" s="40"/>
      <c r="C100" s="1">
        <f t="shared" ref="C100:Q100" si="8">AVERAGE(C56:C99)</f>
        <v>0.90909090909090906</v>
      </c>
      <c r="D100" s="1">
        <f t="shared" si="8"/>
        <v>0.84090909090909094</v>
      </c>
      <c r="E100" s="1">
        <f t="shared" si="8"/>
        <v>0.95454545454545459</v>
      </c>
      <c r="F100" s="1">
        <f t="shared" si="8"/>
        <v>0.88636363636363635</v>
      </c>
      <c r="G100" s="1">
        <f t="shared" si="8"/>
        <v>0.72727272727272729</v>
      </c>
      <c r="H100" s="1">
        <f t="shared" si="8"/>
        <v>0.79545454545454541</v>
      </c>
      <c r="I100" s="1">
        <f t="shared" si="8"/>
        <v>0.90909090909090906</v>
      </c>
      <c r="J100" s="1">
        <f t="shared" si="8"/>
        <v>0.81818181818181823</v>
      </c>
      <c r="K100" s="1">
        <f t="shared" si="8"/>
        <v>0.81818181818181823</v>
      </c>
      <c r="L100" s="1">
        <f t="shared" si="8"/>
        <v>0.90909090909090906</v>
      </c>
      <c r="M100" s="1">
        <f t="shared" si="8"/>
        <v>0.93181818181818177</v>
      </c>
      <c r="N100" s="1">
        <f t="shared" si="8"/>
        <v>0.93181818181818177</v>
      </c>
      <c r="O100" s="1">
        <f t="shared" si="8"/>
        <v>0.95454545454545459</v>
      </c>
      <c r="P100" s="1">
        <f t="shared" si="8"/>
        <v>1</v>
      </c>
      <c r="Q100" s="1">
        <f t="shared" si="8"/>
        <v>0.79545454545454541</v>
      </c>
    </row>
    <row r="101" spans="1:18" x14ac:dyDescent="0.35">
      <c r="A101" s="31" t="s">
        <v>125</v>
      </c>
      <c r="B101" s="40"/>
      <c r="C101" s="1">
        <f t="shared" ref="C101:Q101" si="9">STDEV(C56:C99)</f>
        <v>0.29080336345115249</v>
      </c>
      <c r="D101" s="1">
        <f t="shared" si="9"/>
        <v>0.36998942902446824</v>
      </c>
      <c r="E101" s="1">
        <f t="shared" si="9"/>
        <v>0.21070705494148531</v>
      </c>
      <c r="F101" s="1">
        <f t="shared" si="9"/>
        <v>0.32103822064055038</v>
      </c>
      <c r="G101" s="1">
        <f t="shared" si="9"/>
        <v>0.45051063346696668</v>
      </c>
      <c r="H101" s="1">
        <f t="shared" si="9"/>
        <v>0.40803245735839222</v>
      </c>
      <c r="I101" s="1">
        <f t="shared" si="9"/>
        <v>0.29080336345115249</v>
      </c>
      <c r="J101" s="1">
        <f t="shared" si="9"/>
        <v>0.39015365325741314</v>
      </c>
      <c r="K101" s="1">
        <f t="shared" si="9"/>
        <v>0.39015365325741314</v>
      </c>
      <c r="L101" s="1">
        <f t="shared" si="9"/>
        <v>0.29080336345115249</v>
      </c>
      <c r="M101" s="1">
        <f t="shared" si="9"/>
        <v>0.25497170592935275</v>
      </c>
      <c r="N101" s="1">
        <f t="shared" si="9"/>
        <v>0.25497170592935275</v>
      </c>
      <c r="O101" s="1">
        <f t="shared" si="9"/>
        <v>0.21070705494148531</v>
      </c>
      <c r="P101" s="1">
        <f t="shared" si="9"/>
        <v>0</v>
      </c>
      <c r="Q101" s="1">
        <f t="shared" si="9"/>
        <v>0.40803245735839222</v>
      </c>
    </row>
  </sheetData>
  <mergeCells count="12">
    <mergeCell ref="A100:B100"/>
    <mergeCell ref="A101:B101"/>
    <mergeCell ref="C55:Q55"/>
    <mergeCell ref="A1:Q1"/>
    <mergeCell ref="U2:AO3"/>
    <mergeCell ref="C3:Q3"/>
    <mergeCell ref="C50:Q50"/>
    <mergeCell ref="C53:Q53"/>
    <mergeCell ref="A48:B48"/>
    <mergeCell ref="A49:B49"/>
    <mergeCell ref="U48:V48"/>
    <mergeCell ref="U49:V49"/>
  </mergeCells>
  <hyperlinks>
    <hyperlink ref="B4" r:id="rId1" xr:uid="{00000000-0004-0000-0000-000000000000}"/>
    <hyperlink ref="B5" r:id="rId2" xr:uid="{00000000-0004-0000-0000-000001000000}"/>
    <hyperlink ref="B6" r:id="rId3" xr:uid="{00000000-0004-0000-0000-000002000000}"/>
    <hyperlink ref="B7" r:id="rId4" xr:uid="{00000000-0004-0000-0000-000003000000}"/>
    <hyperlink ref="B8" r:id="rId5" xr:uid="{00000000-0004-0000-0000-000004000000}"/>
    <hyperlink ref="B9" r:id="rId6" xr:uid="{00000000-0004-0000-0000-000005000000}"/>
    <hyperlink ref="B10" r:id="rId7" xr:uid="{00000000-0004-0000-0000-000006000000}"/>
    <hyperlink ref="B11" r:id="rId8" xr:uid="{00000000-0004-0000-0000-000007000000}"/>
    <hyperlink ref="B12" r:id="rId9" xr:uid="{00000000-0004-0000-0000-000008000000}"/>
    <hyperlink ref="B13" r:id="rId10" xr:uid="{00000000-0004-0000-0000-000009000000}"/>
    <hyperlink ref="B14" r:id="rId11" xr:uid="{00000000-0004-0000-0000-00000A000000}"/>
    <hyperlink ref="B15" r:id="rId12" xr:uid="{00000000-0004-0000-0000-00000B000000}"/>
    <hyperlink ref="B16" r:id="rId13" xr:uid="{00000000-0004-0000-0000-00000C000000}"/>
    <hyperlink ref="B17" r:id="rId14" xr:uid="{00000000-0004-0000-0000-00000D000000}"/>
    <hyperlink ref="B18" r:id="rId15" xr:uid="{00000000-0004-0000-0000-00000E000000}"/>
    <hyperlink ref="B19" r:id="rId16" xr:uid="{00000000-0004-0000-0000-00000F000000}"/>
    <hyperlink ref="B20" r:id="rId17" xr:uid="{00000000-0004-0000-0000-000010000000}"/>
    <hyperlink ref="B21" r:id="rId18" xr:uid="{00000000-0004-0000-0000-000011000000}"/>
    <hyperlink ref="B22" r:id="rId19" xr:uid="{00000000-0004-0000-0000-000012000000}"/>
    <hyperlink ref="B23" r:id="rId20" xr:uid="{00000000-0004-0000-0000-000013000000}"/>
    <hyperlink ref="B24" r:id="rId21" xr:uid="{00000000-0004-0000-0000-000014000000}"/>
    <hyperlink ref="B25" r:id="rId22" xr:uid="{00000000-0004-0000-0000-000015000000}"/>
    <hyperlink ref="B26" r:id="rId23" xr:uid="{00000000-0004-0000-0000-000016000000}"/>
    <hyperlink ref="B27" r:id="rId24" xr:uid="{00000000-0004-0000-0000-000017000000}"/>
    <hyperlink ref="B28" r:id="rId25" xr:uid="{00000000-0004-0000-0000-000018000000}"/>
    <hyperlink ref="B29" r:id="rId26" xr:uid="{00000000-0004-0000-0000-000019000000}"/>
    <hyperlink ref="B30" r:id="rId27" xr:uid="{00000000-0004-0000-0000-00001A000000}"/>
    <hyperlink ref="B31" r:id="rId28" xr:uid="{00000000-0004-0000-0000-00001B000000}"/>
    <hyperlink ref="B32" r:id="rId29" xr:uid="{00000000-0004-0000-0000-00001C000000}"/>
    <hyperlink ref="B33" r:id="rId30" xr:uid="{00000000-0004-0000-0000-00001D000000}"/>
    <hyperlink ref="B34" r:id="rId31" xr:uid="{00000000-0004-0000-0000-00001E000000}"/>
    <hyperlink ref="B35" r:id="rId32" xr:uid="{00000000-0004-0000-0000-00001F000000}"/>
    <hyperlink ref="B36" r:id="rId33" xr:uid="{00000000-0004-0000-0000-000020000000}"/>
    <hyperlink ref="B37" r:id="rId34" xr:uid="{00000000-0004-0000-0000-000021000000}"/>
    <hyperlink ref="B38" r:id="rId35" xr:uid="{00000000-0004-0000-0000-000022000000}"/>
    <hyperlink ref="B39" r:id="rId36" xr:uid="{00000000-0004-0000-0000-000023000000}"/>
    <hyperlink ref="B40" r:id="rId37" xr:uid="{00000000-0004-0000-0000-000024000000}"/>
    <hyperlink ref="B41" r:id="rId38" xr:uid="{00000000-0004-0000-0000-000025000000}"/>
    <hyperlink ref="B42" r:id="rId39" xr:uid="{00000000-0004-0000-0000-000026000000}"/>
    <hyperlink ref="B43" r:id="rId40" xr:uid="{00000000-0004-0000-0000-000027000000}"/>
    <hyperlink ref="B44" r:id="rId41" xr:uid="{00000000-0004-0000-0000-000028000000}"/>
    <hyperlink ref="B45" r:id="rId42" xr:uid="{00000000-0004-0000-0000-000029000000}"/>
    <hyperlink ref="B46" r:id="rId43" xr:uid="{00000000-0004-0000-0000-00002A000000}"/>
    <hyperlink ref="B47" r:id="rId44" xr:uid="{00000000-0004-0000-0000-00002B000000}"/>
    <hyperlink ref="B56" r:id="rId45" xr:uid="{E9AB2725-1B54-4D36-BBCB-87E753E3AA90}"/>
    <hyperlink ref="B57" r:id="rId46" xr:uid="{AE8F55D5-9C5F-44B1-83F2-49E7EE589B78}"/>
    <hyperlink ref="B58" r:id="rId47" xr:uid="{8D105E8A-0764-4769-9929-8A473BF084A5}"/>
    <hyperlink ref="B59" r:id="rId48" xr:uid="{20ED5E92-F20D-4A1F-B74E-1C65C9A649D0}"/>
    <hyperlink ref="B60" r:id="rId49" xr:uid="{5700C957-E3AF-4314-AEB4-9F250229EF33}"/>
    <hyperlink ref="B61" r:id="rId50" xr:uid="{CB686CB2-B003-4E91-B1FF-37B20F7D82DF}"/>
    <hyperlink ref="B62" r:id="rId51" xr:uid="{3A97C1B6-17CB-4967-A4AC-4C6FFA54E84B}"/>
    <hyperlink ref="B63" r:id="rId52" xr:uid="{E24D3EB3-2837-4246-AB05-2E093412D696}"/>
    <hyperlink ref="B64" r:id="rId53" xr:uid="{35F8A847-25AA-463E-8DD9-1DA91B289177}"/>
    <hyperlink ref="B65" r:id="rId54" xr:uid="{7A98E3AF-8462-4A6A-A0E4-1A1B1CF67D78}"/>
    <hyperlink ref="B66" r:id="rId55" xr:uid="{564ABD2E-0E8D-42CF-AE54-F3BEE9E60C79}"/>
    <hyperlink ref="B67" r:id="rId56" xr:uid="{560637AB-FA71-475E-8BB0-DB2457720B80}"/>
    <hyperlink ref="B68" r:id="rId57" xr:uid="{329772A7-0B1A-4966-A225-3B19818B8EDC}"/>
    <hyperlink ref="B69" r:id="rId58" xr:uid="{C9F5EEDA-5DE0-4F68-BCD4-EABFB0598A1F}"/>
    <hyperlink ref="B70" r:id="rId59" xr:uid="{82005393-E0FD-4407-AC71-2F4036A5E06F}"/>
    <hyperlink ref="B71" r:id="rId60" xr:uid="{BD3B73EA-32C5-4516-8E2A-32BB7FC619D0}"/>
    <hyperlink ref="B72" r:id="rId61" xr:uid="{C9F7637C-2169-4338-A75A-FD75980D02EB}"/>
    <hyperlink ref="B73" r:id="rId62" xr:uid="{3CBF11FE-B055-484B-B96C-1919B43D61AB}"/>
    <hyperlink ref="B74" r:id="rId63" xr:uid="{5DB4F89E-FE42-471C-9A3C-8E7D264CF921}"/>
    <hyperlink ref="B75" r:id="rId64" xr:uid="{9AF9A9CC-5E63-455E-AA9A-C5FFBE246A5B}"/>
    <hyperlink ref="B76" r:id="rId65" xr:uid="{D0064629-1F75-4DFA-878E-B01F17ED1C51}"/>
    <hyperlink ref="B77" r:id="rId66" xr:uid="{605D343A-8D3D-47E4-A25C-04C2B498B5F1}"/>
    <hyperlink ref="B78" r:id="rId67" xr:uid="{91EF8240-DA6F-4342-B8E2-7846F0F493B9}"/>
    <hyperlink ref="B79" r:id="rId68" xr:uid="{B8AD386C-517B-4E9E-AFC6-87002EE64454}"/>
    <hyperlink ref="B80" r:id="rId69" xr:uid="{6845EBA9-5C5E-4D6D-8CE6-EA08ABBC3479}"/>
    <hyperlink ref="B81" r:id="rId70" xr:uid="{E4266FD2-7E72-4F6E-A6A3-B2490CF6EF93}"/>
    <hyperlink ref="B82" r:id="rId71" xr:uid="{C83DA6B8-3D2D-49E0-8D37-43539BDAD4D5}"/>
    <hyperlink ref="B83" r:id="rId72" xr:uid="{34FDB850-3A4E-4919-AA8B-05943D9090BC}"/>
    <hyperlink ref="B84" r:id="rId73" xr:uid="{BB558F3B-9F41-46FB-9B1F-F7CD8DD2C9AA}"/>
    <hyperlink ref="B85" r:id="rId74" xr:uid="{87875DAF-AA3C-4522-BCD1-8D6B912163B5}"/>
    <hyperlink ref="B86" r:id="rId75" xr:uid="{13A326BA-2068-4F59-9F6E-1E5ED2850F53}"/>
    <hyperlink ref="B87" r:id="rId76" xr:uid="{4AFAD3AB-6DAD-49A3-9EE0-E1B0AF1F2D2F}"/>
    <hyperlink ref="B88" r:id="rId77" xr:uid="{89B806D9-EB26-41EA-A97B-E7E0831002C2}"/>
    <hyperlink ref="B89" r:id="rId78" xr:uid="{5F416182-6E66-4E75-93F1-8C01BFA19D16}"/>
    <hyperlink ref="B90" r:id="rId79" xr:uid="{24A80668-27C4-48B9-8289-10E8F3450D20}"/>
    <hyperlink ref="B91" r:id="rId80" xr:uid="{8A619A56-3194-401B-854F-83B09B8EE7F4}"/>
    <hyperlink ref="B92" r:id="rId81" xr:uid="{A7C1FE1A-8606-48D0-B27B-61DBB2167640}"/>
    <hyperlink ref="B93" r:id="rId82" xr:uid="{7F6A9032-F696-4CA6-8A5D-E33F02186734}"/>
    <hyperlink ref="B94" r:id="rId83" xr:uid="{27F1CE03-961E-49C3-95DF-417A109C2E8E}"/>
    <hyperlink ref="B95" r:id="rId84" xr:uid="{85E7685A-F269-4395-B724-DB908C496A06}"/>
    <hyperlink ref="B96" r:id="rId85" xr:uid="{57CFD072-3A59-4953-963C-7EE568BD6925}"/>
    <hyperlink ref="B97" r:id="rId86" xr:uid="{0F8EFE3E-539B-4D2F-B42D-F8342633E9A6}"/>
    <hyperlink ref="B98" r:id="rId87" xr:uid="{5876143E-15FB-4459-A068-14EFFF506E9D}"/>
    <hyperlink ref="B99" r:id="rId88" xr:uid="{D1C5E98C-7559-4F94-BCA9-AE413313B428}"/>
    <hyperlink ref="V4" r:id="rId89" xr:uid="{141036E8-ED2A-419E-92E6-8ACE5060C5BB}"/>
    <hyperlink ref="V5" r:id="rId90" xr:uid="{5CB09271-0885-48F3-AB55-F979B7D58CAC}"/>
    <hyperlink ref="V6" r:id="rId91" xr:uid="{983044D2-499D-47CF-9066-099D988260E9}"/>
    <hyperlink ref="V7" r:id="rId92" xr:uid="{C018FB41-16D5-49EE-B3DF-BE41811A5250}"/>
    <hyperlink ref="V8" r:id="rId93" xr:uid="{2841C5C0-18B2-484F-ACC8-9181FFF7D867}"/>
    <hyperlink ref="V9" r:id="rId94" xr:uid="{2ABFF0E8-51A8-453C-BDF3-B96C37EA7829}"/>
    <hyperlink ref="V10" r:id="rId95" xr:uid="{B3FABB3C-28BE-4D70-91EF-7BEB062218D0}"/>
    <hyperlink ref="V11" r:id="rId96" xr:uid="{8128E7BA-786D-4FC5-95A1-FA37DEF663D3}"/>
    <hyperlink ref="V12" r:id="rId97" xr:uid="{AB71DF55-C1C2-4D4F-91D9-28A890CEF0BC}"/>
    <hyperlink ref="V13" r:id="rId98" xr:uid="{1B585207-E325-4ED2-A509-7F1ED6B45314}"/>
    <hyperlink ref="V14" r:id="rId99" xr:uid="{E8087A49-669D-440D-A849-F08976596B90}"/>
    <hyperlink ref="V15" r:id="rId100" xr:uid="{3315EE09-3EC4-4E8D-9789-72182801B7C5}"/>
    <hyperlink ref="V16" r:id="rId101" xr:uid="{CC7F857D-1564-408D-8508-876EB07F78C1}"/>
    <hyperlink ref="V17" r:id="rId102" xr:uid="{A2A55B92-B133-434D-84CD-5EFF4845705A}"/>
    <hyperlink ref="V18" r:id="rId103" xr:uid="{0BCF43F7-3B7C-4CB7-99AD-4E12A8CF6082}"/>
    <hyperlink ref="V19" r:id="rId104" xr:uid="{6064A2E0-EEF7-4EED-ABE6-6DFF618C3C03}"/>
    <hyperlink ref="V20" r:id="rId105" xr:uid="{7C4C40A4-AF4B-4F0E-847D-A11A76229FD6}"/>
    <hyperlink ref="V21" r:id="rId106" xr:uid="{947C6A24-A110-41F6-961C-E857ABF1E979}"/>
    <hyperlink ref="V22" r:id="rId107" xr:uid="{69229FAB-C2F6-4C27-BF0C-91E724954E6B}"/>
    <hyperlink ref="V23" r:id="rId108" xr:uid="{859B4147-0273-4187-A075-1E57D70F1C4D}"/>
    <hyperlink ref="V24" r:id="rId109" xr:uid="{49AEDA5B-81B5-4D1C-B860-0074D328E9A4}"/>
    <hyperlink ref="V25" r:id="rId110" xr:uid="{08170A18-08EA-4731-BA3D-86C9F4206A53}"/>
    <hyperlink ref="V26" r:id="rId111" xr:uid="{2A442315-7801-4B77-8623-C822CF068F79}"/>
    <hyperlink ref="V27" r:id="rId112" xr:uid="{83DC6EFB-B245-4F11-8984-1CE90F29BA4D}"/>
    <hyperlink ref="V28" r:id="rId113" xr:uid="{C8679FD5-F218-42A9-A431-4F2DE9F6F875}"/>
    <hyperlink ref="V29" r:id="rId114" xr:uid="{DCED97A7-BDCC-4F85-B852-7AE57862513A}"/>
    <hyperlink ref="V30" r:id="rId115" xr:uid="{6826B085-44ED-4EA8-B911-6BC6E6386FA5}"/>
    <hyperlink ref="V31" r:id="rId116" xr:uid="{1A264485-07C5-4469-AE8B-39DF11D1BFE4}"/>
    <hyperlink ref="V32" r:id="rId117" xr:uid="{AA69805D-5051-47AC-BFFB-3474BC97A5C6}"/>
    <hyperlink ref="V33" r:id="rId118" xr:uid="{B5F81535-DC89-490E-8CC7-D649CA74B0FB}"/>
    <hyperlink ref="V34" r:id="rId119" xr:uid="{E339C6E5-D4AB-471E-BE1C-F0E4286507EF}"/>
    <hyperlink ref="V35" r:id="rId120" xr:uid="{9191D5BC-6A92-4E94-B285-EC305C4D67E7}"/>
    <hyperlink ref="V36" r:id="rId121" xr:uid="{CB43CEDF-5CB3-4791-B3E6-816AD7EEDB2A}"/>
    <hyperlink ref="V37" r:id="rId122" xr:uid="{6F54AE25-E66F-40EF-B7F8-DB844CAF8270}"/>
    <hyperlink ref="V38" r:id="rId123" xr:uid="{BB95DDF4-8662-4C99-8BE0-5339E26EE4EE}"/>
    <hyperlink ref="V39" r:id="rId124" xr:uid="{9A2C3FF6-7FCC-4CE2-ADFF-C84050066546}"/>
    <hyperlink ref="V40" r:id="rId125" xr:uid="{F4F26954-F6CD-480B-9557-6FCC17A4CF1E}"/>
    <hyperlink ref="V41" r:id="rId126" xr:uid="{2FAA402F-652D-4771-A45C-87DF83D7D152}"/>
    <hyperlink ref="V42" r:id="rId127" xr:uid="{4331B0AF-8DF6-42C2-91A1-BB7358823807}"/>
    <hyperlink ref="V43" r:id="rId128" xr:uid="{45BC78FC-38A4-4257-A274-94FCC87CD5A4}"/>
    <hyperlink ref="V44" r:id="rId129" xr:uid="{C87673EF-5BF7-44CD-AB45-AA56C599B09C}"/>
    <hyperlink ref="V45" r:id="rId130" xr:uid="{48CD80FD-06C2-4027-8A68-04B1D2F6A157}"/>
    <hyperlink ref="V46" r:id="rId131" xr:uid="{4CB01B14-C467-46E4-BBBB-622981E7E5C2}"/>
    <hyperlink ref="V47" r:id="rId132" xr:uid="{C9313AB9-7EF6-48C2-A67C-4557FC97B824}"/>
  </hyperlinks>
  <pageMargins left="0.7" right="0.7" top="0.75" bottom="0.75" header="0.3" footer="0.3"/>
  <pageSetup orientation="portrait" r:id="rId13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41EDD-3F53-41C6-AD8F-6978ED06B6F4}">
  <dimension ref="A1:AP106"/>
  <sheetViews>
    <sheetView zoomScale="32" zoomScaleNormal="100" workbookViewId="0">
      <selection activeCell="AG9" sqref="AG9"/>
    </sheetView>
  </sheetViews>
  <sheetFormatPr defaultRowHeight="14.5" x14ac:dyDescent="0.35"/>
  <cols>
    <col min="2" max="2" width="32.7265625" customWidth="1"/>
    <col min="4" max="4" width="11.453125" bestFit="1" customWidth="1"/>
    <col min="5" max="5" width="11.81640625" bestFit="1" customWidth="1"/>
    <col min="6" max="6" width="18.1796875" bestFit="1" customWidth="1"/>
    <col min="7" max="7" width="15.7265625" bestFit="1" customWidth="1"/>
    <col min="8" max="8" width="24.90625" bestFit="1" customWidth="1"/>
    <col min="9" max="9" width="10.1796875" bestFit="1" customWidth="1"/>
    <col min="11" max="11" width="21.6328125" bestFit="1" customWidth="1"/>
    <col min="12" max="12" width="13.7265625" bestFit="1" customWidth="1"/>
    <col min="13" max="13" width="14.36328125" bestFit="1" customWidth="1"/>
    <col min="14" max="14" width="10.1796875" bestFit="1" customWidth="1"/>
    <col min="15" max="15" width="29.6328125" bestFit="1" customWidth="1"/>
    <col min="16" max="16" width="15.26953125" bestFit="1" customWidth="1"/>
    <col min="17" max="17" width="16.1796875" bestFit="1" customWidth="1"/>
    <col min="22" max="22" width="29.7265625" customWidth="1"/>
    <col min="35" max="36" width="14.7265625" customWidth="1"/>
    <col min="37" max="37" width="11.36328125" bestFit="1" customWidth="1"/>
    <col min="38" max="38" width="12.54296875" bestFit="1" customWidth="1"/>
    <col min="39" max="39" width="16.7265625" bestFit="1" customWidth="1"/>
    <col min="40" max="40" width="8.54296875" customWidth="1"/>
  </cols>
  <sheetData>
    <row r="1" spans="1:42" ht="23.5" x14ac:dyDescent="0.55000000000000004">
      <c r="A1" s="41" t="s">
        <v>72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U1" s="7" t="s">
        <v>44</v>
      </c>
      <c r="V1" s="7" t="s">
        <v>0</v>
      </c>
      <c r="W1" s="2" t="s">
        <v>79</v>
      </c>
      <c r="X1" s="2" t="s">
        <v>80</v>
      </c>
      <c r="Y1" s="2" t="s">
        <v>81</v>
      </c>
      <c r="Z1" s="2" t="s">
        <v>82</v>
      </c>
      <c r="AA1" s="2" t="s">
        <v>83</v>
      </c>
      <c r="AB1" s="2" t="s">
        <v>84</v>
      </c>
      <c r="AC1" s="2" t="s">
        <v>85</v>
      </c>
      <c r="AD1" s="2" t="s">
        <v>86</v>
      </c>
      <c r="AE1" s="2" t="s">
        <v>87</v>
      </c>
      <c r="AF1" s="2" t="s">
        <v>88</v>
      </c>
      <c r="AG1" s="2" t="s">
        <v>113</v>
      </c>
      <c r="AH1" s="2" t="s">
        <v>114</v>
      </c>
      <c r="AI1" s="2" t="s">
        <v>116</v>
      </c>
      <c r="AJ1" s="8" t="s">
        <v>90</v>
      </c>
      <c r="AK1" s="2" t="s">
        <v>91</v>
      </c>
      <c r="AL1" s="2" t="s">
        <v>92</v>
      </c>
      <c r="AM1" s="2" t="s">
        <v>93</v>
      </c>
      <c r="AN1" s="2" t="s">
        <v>94</v>
      </c>
      <c r="AO1" s="2" t="s">
        <v>95</v>
      </c>
      <c r="AP1" s="14" t="s">
        <v>117</v>
      </c>
    </row>
    <row r="2" spans="1:42" x14ac:dyDescent="0.35">
      <c r="A2" s="2" t="s">
        <v>44</v>
      </c>
      <c r="B2" s="2" t="s">
        <v>0</v>
      </c>
      <c r="C2" s="2" t="s">
        <v>45</v>
      </c>
      <c r="D2" s="2" t="s">
        <v>46</v>
      </c>
      <c r="E2" s="2" t="s">
        <v>47</v>
      </c>
      <c r="F2" s="2" t="s">
        <v>48</v>
      </c>
      <c r="G2" s="2" t="s">
        <v>49</v>
      </c>
      <c r="H2" s="2" t="s">
        <v>50</v>
      </c>
      <c r="I2" s="2" t="s">
        <v>51</v>
      </c>
      <c r="J2" s="2" t="s">
        <v>52</v>
      </c>
      <c r="K2" s="2" t="s">
        <v>53</v>
      </c>
      <c r="L2" s="2" t="s">
        <v>54</v>
      </c>
      <c r="M2" s="2" t="s">
        <v>55</v>
      </c>
      <c r="N2" s="2" t="s">
        <v>56</v>
      </c>
      <c r="O2" s="2" t="s">
        <v>57</v>
      </c>
      <c r="P2" s="2" t="s">
        <v>58</v>
      </c>
      <c r="Q2" s="2" t="s">
        <v>59</v>
      </c>
      <c r="R2" s="13" t="s">
        <v>103</v>
      </c>
      <c r="U2" s="43" t="s">
        <v>96</v>
      </c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5"/>
    </row>
    <row r="3" spans="1:42" x14ac:dyDescent="0.35">
      <c r="A3" s="1"/>
      <c r="B3" s="1"/>
      <c r="C3" s="43" t="s">
        <v>78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U3" s="46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47"/>
    </row>
    <row r="4" spans="1:42" x14ac:dyDescent="0.35">
      <c r="A4" s="2">
        <v>1</v>
      </c>
      <c r="B4" s="3" t="s">
        <v>1</v>
      </c>
      <c r="C4" s="1">
        <v>3</v>
      </c>
      <c r="D4" s="1">
        <v>2</v>
      </c>
      <c r="E4" s="1">
        <v>3</v>
      </c>
      <c r="F4" s="1">
        <v>6</v>
      </c>
      <c r="G4" s="1">
        <v>5</v>
      </c>
      <c r="H4" s="1">
        <v>5</v>
      </c>
      <c r="I4" s="1">
        <v>3</v>
      </c>
      <c r="J4" s="1">
        <v>4</v>
      </c>
      <c r="K4" s="1">
        <v>5</v>
      </c>
      <c r="L4" s="1">
        <v>3</v>
      </c>
      <c r="M4" s="1">
        <v>2</v>
      </c>
      <c r="N4" s="1">
        <v>3</v>
      </c>
      <c r="O4" s="1">
        <v>4</v>
      </c>
      <c r="P4" s="1">
        <v>4</v>
      </c>
      <c r="Q4" s="1">
        <v>2</v>
      </c>
      <c r="R4">
        <f t="shared" ref="R4:R47" si="0">AVERAGE(C4:Q4)</f>
        <v>3.6</v>
      </c>
      <c r="U4" s="2">
        <v>1</v>
      </c>
      <c r="V4" s="3" t="s">
        <v>1</v>
      </c>
      <c r="W4" s="1">
        <v>2</v>
      </c>
      <c r="X4" s="1">
        <v>4</v>
      </c>
      <c r="Y4" s="1">
        <v>3</v>
      </c>
      <c r="Z4" s="1">
        <v>5</v>
      </c>
      <c r="AA4" s="1">
        <v>2</v>
      </c>
      <c r="AB4" s="1">
        <v>1</v>
      </c>
      <c r="AC4" s="1">
        <v>3</v>
      </c>
      <c r="AD4" s="1">
        <v>1</v>
      </c>
      <c r="AE4" s="1">
        <v>4</v>
      </c>
      <c r="AF4" s="1">
        <v>4</v>
      </c>
      <c r="AG4" s="1">
        <v>14</v>
      </c>
      <c r="AH4" s="1">
        <v>15</v>
      </c>
      <c r="AI4" s="1">
        <v>47.5</v>
      </c>
      <c r="AJ4" s="12">
        <v>20</v>
      </c>
      <c r="AK4" s="1">
        <v>40</v>
      </c>
      <c r="AL4" s="1">
        <v>20</v>
      </c>
      <c r="AM4" s="1">
        <v>60</v>
      </c>
      <c r="AN4" s="1">
        <v>60</v>
      </c>
      <c r="AO4" s="1">
        <v>40</v>
      </c>
      <c r="AP4">
        <f t="shared" ref="AP4:AP47" si="1">AVERAGE(AJ4:AO4)</f>
        <v>40</v>
      </c>
    </row>
    <row r="5" spans="1:42" x14ac:dyDescent="0.35">
      <c r="A5" s="2">
        <v>2</v>
      </c>
      <c r="B5" s="3" t="s">
        <v>2</v>
      </c>
      <c r="C5" s="1">
        <v>4</v>
      </c>
      <c r="D5" s="1">
        <v>3</v>
      </c>
      <c r="E5" s="1">
        <v>3</v>
      </c>
      <c r="F5" s="1">
        <v>5</v>
      </c>
      <c r="G5" s="1">
        <v>3</v>
      </c>
      <c r="H5" s="1">
        <v>2</v>
      </c>
      <c r="I5" s="1">
        <v>4</v>
      </c>
      <c r="J5" s="1">
        <v>1</v>
      </c>
      <c r="K5" s="1">
        <v>5</v>
      </c>
      <c r="L5" s="1">
        <v>4</v>
      </c>
      <c r="M5" s="1">
        <v>3</v>
      </c>
      <c r="N5" s="1">
        <v>5</v>
      </c>
      <c r="O5" s="1">
        <v>3</v>
      </c>
      <c r="P5" s="1">
        <v>3</v>
      </c>
      <c r="Q5" s="1">
        <v>4</v>
      </c>
      <c r="R5">
        <f t="shared" si="0"/>
        <v>3.4666666666666668</v>
      </c>
      <c r="U5" s="2">
        <v>2</v>
      </c>
      <c r="V5" s="3" t="s">
        <v>2</v>
      </c>
      <c r="W5" s="1">
        <v>1</v>
      </c>
      <c r="X5" s="1">
        <v>1</v>
      </c>
      <c r="Y5" s="1">
        <v>2</v>
      </c>
      <c r="Z5" s="1">
        <v>3</v>
      </c>
      <c r="AA5" s="1">
        <v>2</v>
      </c>
      <c r="AB5" s="1">
        <v>3</v>
      </c>
      <c r="AC5" s="1">
        <v>1</v>
      </c>
      <c r="AD5" s="1">
        <v>2</v>
      </c>
      <c r="AE5" s="1">
        <v>2</v>
      </c>
      <c r="AF5" s="1">
        <v>3</v>
      </c>
      <c r="AG5" s="1">
        <v>8</v>
      </c>
      <c r="AH5" s="1">
        <v>12</v>
      </c>
      <c r="AI5" s="1">
        <v>40</v>
      </c>
      <c r="AJ5" s="12">
        <v>20</v>
      </c>
      <c r="AK5" s="1">
        <v>20</v>
      </c>
      <c r="AL5" s="1">
        <v>5</v>
      </c>
      <c r="AM5" s="1">
        <v>40</v>
      </c>
      <c r="AN5" s="1">
        <v>20</v>
      </c>
      <c r="AO5" s="1">
        <v>40</v>
      </c>
      <c r="AP5">
        <f t="shared" si="1"/>
        <v>24.166666666666668</v>
      </c>
    </row>
    <row r="6" spans="1:42" x14ac:dyDescent="0.35">
      <c r="A6" s="2">
        <v>3</v>
      </c>
      <c r="B6" s="3" t="s">
        <v>3</v>
      </c>
      <c r="C6" s="1">
        <v>2</v>
      </c>
      <c r="D6" s="1">
        <v>4</v>
      </c>
      <c r="E6" s="1">
        <v>5</v>
      </c>
      <c r="F6" s="1">
        <v>6</v>
      </c>
      <c r="G6" s="1">
        <v>7</v>
      </c>
      <c r="H6" s="1">
        <v>2</v>
      </c>
      <c r="I6" s="1">
        <v>4</v>
      </c>
      <c r="J6" s="1">
        <v>1</v>
      </c>
      <c r="K6" s="1">
        <v>3</v>
      </c>
      <c r="L6" s="1">
        <v>3</v>
      </c>
      <c r="M6" s="1">
        <v>4</v>
      </c>
      <c r="N6" s="1">
        <v>5</v>
      </c>
      <c r="O6" s="1">
        <v>4</v>
      </c>
      <c r="P6" s="1">
        <v>2</v>
      </c>
      <c r="Q6" s="1">
        <v>2</v>
      </c>
      <c r="R6">
        <f t="shared" si="0"/>
        <v>3.6</v>
      </c>
      <c r="U6" s="2">
        <v>3</v>
      </c>
      <c r="V6" s="3" t="s">
        <v>3</v>
      </c>
      <c r="W6" s="1">
        <v>1</v>
      </c>
      <c r="X6" s="1">
        <v>3</v>
      </c>
      <c r="Y6" s="1">
        <v>1</v>
      </c>
      <c r="Z6" s="1">
        <v>3</v>
      </c>
      <c r="AA6" s="1">
        <v>1</v>
      </c>
      <c r="AB6" s="1">
        <v>3</v>
      </c>
      <c r="AC6" s="6">
        <v>3</v>
      </c>
      <c r="AD6" s="1">
        <v>1</v>
      </c>
      <c r="AE6" s="1">
        <v>4</v>
      </c>
      <c r="AF6" s="1">
        <v>3</v>
      </c>
      <c r="AG6" s="1">
        <v>10</v>
      </c>
      <c r="AH6" s="1">
        <v>13</v>
      </c>
      <c r="AI6" s="1">
        <v>42.5</v>
      </c>
      <c r="AJ6" s="1">
        <v>5</v>
      </c>
      <c r="AK6" s="10">
        <v>20</v>
      </c>
      <c r="AL6" s="1">
        <v>85</v>
      </c>
      <c r="AM6" s="1">
        <v>85</v>
      </c>
      <c r="AN6" s="1">
        <v>5</v>
      </c>
      <c r="AO6" s="1">
        <v>20</v>
      </c>
      <c r="AP6">
        <f t="shared" si="1"/>
        <v>36.666666666666664</v>
      </c>
    </row>
    <row r="7" spans="1:42" x14ac:dyDescent="0.35">
      <c r="A7" s="2">
        <v>4</v>
      </c>
      <c r="B7" s="3" t="s">
        <v>4</v>
      </c>
      <c r="C7" s="1">
        <v>2</v>
      </c>
      <c r="D7" s="1">
        <v>2</v>
      </c>
      <c r="E7" s="1">
        <v>1</v>
      </c>
      <c r="F7" s="1">
        <v>7</v>
      </c>
      <c r="G7" s="1">
        <v>5</v>
      </c>
      <c r="H7" s="1">
        <v>7</v>
      </c>
      <c r="I7" s="1">
        <v>2</v>
      </c>
      <c r="J7" s="1">
        <v>5</v>
      </c>
      <c r="K7" s="1">
        <v>3</v>
      </c>
      <c r="L7" s="1">
        <v>2</v>
      </c>
      <c r="M7" s="1">
        <v>2</v>
      </c>
      <c r="N7" s="1">
        <v>6</v>
      </c>
      <c r="O7" s="1">
        <v>4</v>
      </c>
      <c r="P7" s="1">
        <v>3</v>
      </c>
      <c r="Q7" s="1">
        <v>3</v>
      </c>
      <c r="R7">
        <f t="shared" si="0"/>
        <v>3.6</v>
      </c>
      <c r="U7" s="2">
        <v>4</v>
      </c>
      <c r="V7" s="3" t="s">
        <v>4</v>
      </c>
      <c r="W7" s="1">
        <v>3</v>
      </c>
      <c r="X7" s="1">
        <v>2</v>
      </c>
      <c r="Y7" s="1">
        <v>3</v>
      </c>
      <c r="Z7" s="1">
        <v>1</v>
      </c>
      <c r="AA7" s="1">
        <v>2</v>
      </c>
      <c r="AB7" s="1">
        <v>1</v>
      </c>
      <c r="AC7" s="1">
        <v>3</v>
      </c>
      <c r="AD7" s="1">
        <v>1</v>
      </c>
      <c r="AE7" s="1">
        <v>3</v>
      </c>
      <c r="AF7" s="1">
        <v>1</v>
      </c>
      <c r="AG7" s="1">
        <v>14</v>
      </c>
      <c r="AH7" s="1">
        <v>6</v>
      </c>
      <c r="AI7" s="1">
        <v>70</v>
      </c>
      <c r="AJ7" s="1">
        <v>20</v>
      </c>
      <c r="AK7" s="1">
        <v>5</v>
      </c>
      <c r="AL7" s="1">
        <v>20</v>
      </c>
      <c r="AM7" s="1">
        <v>20</v>
      </c>
      <c r="AN7" s="1">
        <v>40</v>
      </c>
      <c r="AO7" s="1">
        <v>40</v>
      </c>
      <c r="AP7">
        <f t="shared" si="1"/>
        <v>24.166666666666668</v>
      </c>
    </row>
    <row r="8" spans="1:42" x14ac:dyDescent="0.35">
      <c r="A8" s="2">
        <v>5</v>
      </c>
      <c r="B8" s="3" t="s">
        <v>5</v>
      </c>
      <c r="C8" s="1">
        <v>3</v>
      </c>
      <c r="D8" s="1">
        <v>4</v>
      </c>
      <c r="E8" s="1">
        <v>1</v>
      </c>
      <c r="F8" s="1">
        <v>4</v>
      </c>
      <c r="G8" s="1">
        <v>4</v>
      </c>
      <c r="H8" s="1">
        <v>3</v>
      </c>
      <c r="I8" s="1">
        <v>5</v>
      </c>
      <c r="J8" s="1">
        <v>2</v>
      </c>
      <c r="K8" s="1">
        <v>5</v>
      </c>
      <c r="L8" s="1">
        <v>2</v>
      </c>
      <c r="M8" s="1">
        <v>2</v>
      </c>
      <c r="N8" s="1">
        <v>6</v>
      </c>
      <c r="O8" s="1">
        <v>7</v>
      </c>
      <c r="P8" s="1">
        <v>4</v>
      </c>
      <c r="Q8" s="1">
        <v>3</v>
      </c>
      <c r="R8">
        <f t="shared" si="0"/>
        <v>3.6666666666666665</v>
      </c>
      <c r="U8" s="2">
        <v>5</v>
      </c>
      <c r="V8" s="3" t="s">
        <v>5</v>
      </c>
      <c r="W8" s="1">
        <v>2</v>
      </c>
      <c r="X8" s="1">
        <v>2</v>
      </c>
      <c r="Y8" s="1">
        <v>3</v>
      </c>
      <c r="Z8" s="1">
        <v>1</v>
      </c>
      <c r="AA8" s="1">
        <v>2</v>
      </c>
      <c r="AB8" s="1">
        <v>1</v>
      </c>
      <c r="AC8" s="1">
        <v>2</v>
      </c>
      <c r="AD8" s="1">
        <v>3</v>
      </c>
      <c r="AE8" s="1">
        <v>2</v>
      </c>
      <c r="AF8" s="1">
        <v>4</v>
      </c>
      <c r="AG8" s="1">
        <v>11</v>
      </c>
      <c r="AH8" s="1">
        <v>11</v>
      </c>
      <c r="AI8" s="1">
        <v>50</v>
      </c>
      <c r="AJ8" s="1">
        <v>20</v>
      </c>
      <c r="AK8" s="1">
        <v>20</v>
      </c>
      <c r="AL8" s="1">
        <v>40</v>
      </c>
      <c r="AM8" s="1">
        <v>40</v>
      </c>
      <c r="AN8" s="1">
        <v>40</v>
      </c>
      <c r="AO8" s="1">
        <v>85</v>
      </c>
      <c r="AP8">
        <f t="shared" si="1"/>
        <v>40.833333333333336</v>
      </c>
    </row>
    <row r="9" spans="1:42" x14ac:dyDescent="0.35">
      <c r="A9" s="2">
        <v>6</v>
      </c>
      <c r="B9" s="3" t="s">
        <v>6</v>
      </c>
      <c r="C9" s="1">
        <v>4</v>
      </c>
      <c r="D9" s="1">
        <v>2</v>
      </c>
      <c r="E9" s="1">
        <v>2</v>
      </c>
      <c r="F9" s="1">
        <v>4</v>
      </c>
      <c r="G9" s="1">
        <v>5</v>
      </c>
      <c r="H9" s="1">
        <v>2</v>
      </c>
      <c r="I9" s="1">
        <v>1</v>
      </c>
      <c r="J9" s="1">
        <v>3</v>
      </c>
      <c r="K9" s="1">
        <v>5</v>
      </c>
      <c r="L9" s="1">
        <v>2</v>
      </c>
      <c r="M9" s="1">
        <v>3</v>
      </c>
      <c r="N9" s="1">
        <v>5</v>
      </c>
      <c r="O9" s="1">
        <v>4</v>
      </c>
      <c r="P9" s="1">
        <v>2</v>
      </c>
      <c r="Q9" s="1">
        <v>3</v>
      </c>
      <c r="R9">
        <f t="shared" si="0"/>
        <v>3.1333333333333333</v>
      </c>
      <c r="U9" s="2">
        <v>6</v>
      </c>
      <c r="V9" s="3" t="s">
        <v>6</v>
      </c>
      <c r="W9" s="1">
        <v>3</v>
      </c>
      <c r="X9" s="1">
        <v>4</v>
      </c>
      <c r="Y9" s="1">
        <v>2</v>
      </c>
      <c r="Z9" s="1">
        <v>4</v>
      </c>
      <c r="AA9" s="1">
        <v>2</v>
      </c>
      <c r="AB9" s="1">
        <v>1</v>
      </c>
      <c r="AC9" s="1">
        <v>3</v>
      </c>
      <c r="AD9" s="1">
        <v>2</v>
      </c>
      <c r="AE9" s="1">
        <v>3</v>
      </c>
      <c r="AF9" s="1">
        <v>2</v>
      </c>
      <c r="AG9" s="1">
        <v>13</v>
      </c>
      <c r="AH9" s="1">
        <v>13</v>
      </c>
      <c r="AI9" s="1">
        <v>50</v>
      </c>
      <c r="AJ9" s="1">
        <v>20</v>
      </c>
      <c r="AK9" s="1">
        <v>20</v>
      </c>
      <c r="AL9" s="1">
        <v>5</v>
      </c>
      <c r="AM9" s="1">
        <v>20</v>
      </c>
      <c r="AN9" s="1">
        <v>20</v>
      </c>
      <c r="AO9" s="1">
        <v>5</v>
      </c>
      <c r="AP9">
        <f t="shared" si="1"/>
        <v>15</v>
      </c>
    </row>
    <row r="10" spans="1:42" x14ac:dyDescent="0.35">
      <c r="A10" s="2">
        <v>7</v>
      </c>
      <c r="B10" s="3" t="s">
        <v>7</v>
      </c>
      <c r="C10" s="1">
        <v>4</v>
      </c>
      <c r="D10" s="1">
        <v>3</v>
      </c>
      <c r="E10" s="1">
        <v>5</v>
      </c>
      <c r="F10" s="1">
        <v>3</v>
      </c>
      <c r="G10" s="1">
        <v>2</v>
      </c>
      <c r="H10" s="1">
        <v>3</v>
      </c>
      <c r="I10" s="1">
        <v>1</v>
      </c>
      <c r="J10" s="1">
        <v>3</v>
      </c>
      <c r="K10" s="1">
        <v>5</v>
      </c>
      <c r="L10" s="1">
        <v>3</v>
      </c>
      <c r="M10" s="1">
        <v>4</v>
      </c>
      <c r="N10" s="1">
        <v>2</v>
      </c>
      <c r="O10" s="1">
        <v>3</v>
      </c>
      <c r="P10" s="1">
        <v>4</v>
      </c>
      <c r="Q10" s="1">
        <v>2</v>
      </c>
      <c r="R10">
        <f t="shared" si="0"/>
        <v>3.1333333333333333</v>
      </c>
      <c r="U10" s="2">
        <v>7</v>
      </c>
      <c r="V10" s="3" t="s">
        <v>7</v>
      </c>
      <c r="W10" s="1">
        <v>1</v>
      </c>
      <c r="X10" s="1">
        <v>1</v>
      </c>
      <c r="Y10" s="1">
        <v>2</v>
      </c>
      <c r="Z10" s="1">
        <v>2</v>
      </c>
      <c r="AA10" s="1">
        <v>1</v>
      </c>
      <c r="AB10" s="1">
        <v>3</v>
      </c>
      <c r="AC10" s="1">
        <v>3</v>
      </c>
      <c r="AD10" s="1">
        <v>4</v>
      </c>
      <c r="AE10" s="1">
        <v>4</v>
      </c>
      <c r="AF10" s="1">
        <v>3</v>
      </c>
      <c r="AG10" s="1">
        <v>11</v>
      </c>
      <c r="AH10" s="1">
        <v>13</v>
      </c>
      <c r="AI10" s="1">
        <v>45</v>
      </c>
      <c r="AJ10" s="1">
        <v>20</v>
      </c>
      <c r="AK10" s="1">
        <v>5</v>
      </c>
      <c r="AL10" s="1">
        <v>20</v>
      </c>
      <c r="AM10" s="1">
        <v>5</v>
      </c>
      <c r="AN10" s="1">
        <v>20</v>
      </c>
      <c r="AO10" s="1">
        <v>20</v>
      </c>
      <c r="AP10">
        <f t="shared" si="1"/>
        <v>15</v>
      </c>
    </row>
    <row r="11" spans="1:42" x14ac:dyDescent="0.35">
      <c r="A11" s="2">
        <v>8</v>
      </c>
      <c r="B11" s="3" t="s">
        <v>8</v>
      </c>
      <c r="C11" s="1">
        <v>3</v>
      </c>
      <c r="D11" s="1">
        <v>3</v>
      </c>
      <c r="E11" s="1">
        <v>2</v>
      </c>
      <c r="F11" s="1">
        <v>2</v>
      </c>
      <c r="G11" s="1">
        <v>1</v>
      </c>
      <c r="H11" s="1">
        <v>5</v>
      </c>
      <c r="I11" s="1">
        <v>4</v>
      </c>
      <c r="J11" s="1">
        <v>5</v>
      </c>
      <c r="K11" s="1">
        <v>4</v>
      </c>
      <c r="L11" s="1">
        <v>4</v>
      </c>
      <c r="M11" s="1">
        <v>2</v>
      </c>
      <c r="N11" s="1">
        <v>3</v>
      </c>
      <c r="O11" s="1">
        <v>5</v>
      </c>
      <c r="P11" s="1">
        <v>2</v>
      </c>
      <c r="Q11" s="1">
        <v>2</v>
      </c>
      <c r="R11">
        <f t="shared" si="0"/>
        <v>3.1333333333333333</v>
      </c>
      <c r="U11" s="2">
        <v>8</v>
      </c>
      <c r="V11" s="3" t="s">
        <v>8</v>
      </c>
      <c r="W11" s="1">
        <v>2</v>
      </c>
      <c r="X11" s="1">
        <v>2</v>
      </c>
      <c r="Y11" s="1">
        <v>1</v>
      </c>
      <c r="Z11" s="1">
        <v>1</v>
      </c>
      <c r="AA11" s="1">
        <v>2</v>
      </c>
      <c r="AB11" s="1">
        <v>3</v>
      </c>
      <c r="AC11" s="1">
        <v>3</v>
      </c>
      <c r="AD11" s="1">
        <v>4</v>
      </c>
      <c r="AE11" s="1">
        <v>4</v>
      </c>
      <c r="AF11" s="1">
        <v>3</v>
      </c>
      <c r="AG11" s="1">
        <v>12</v>
      </c>
      <c r="AH11" s="1">
        <v>13</v>
      </c>
      <c r="AI11" s="1">
        <v>47.5</v>
      </c>
      <c r="AJ11" s="1">
        <v>20</v>
      </c>
      <c r="AK11" s="1">
        <v>20</v>
      </c>
      <c r="AL11" s="1">
        <v>5</v>
      </c>
      <c r="AM11" s="1">
        <v>5</v>
      </c>
      <c r="AN11" s="1">
        <v>20</v>
      </c>
      <c r="AO11" s="1">
        <v>5</v>
      </c>
      <c r="AP11">
        <f t="shared" si="1"/>
        <v>12.5</v>
      </c>
    </row>
    <row r="12" spans="1:42" x14ac:dyDescent="0.35">
      <c r="A12" s="2">
        <v>9</v>
      </c>
      <c r="B12" s="3" t="s">
        <v>9</v>
      </c>
      <c r="C12" s="1">
        <v>3</v>
      </c>
      <c r="D12" s="1">
        <v>3</v>
      </c>
      <c r="E12" s="1">
        <v>2</v>
      </c>
      <c r="F12" s="1">
        <v>3</v>
      </c>
      <c r="G12" s="1">
        <v>5</v>
      </c>
      <c r="H12" s="1">
        <v>6</v>
      </c>
      <c r="I12" s="1">
        <v>4</v>
      </c>
      <c r="J12" s="1">
        <v>1</v>
      </c>
      <c r="K12" s="1">
        <v>4</v>
      </c>
      <c r="L12" s="1">
        <v>4</v>
      </c>
      <c r="M12" s="1">
        <v>3</v>
      </c>
      <c r="N12" s="1">
        <v>3</v>
      </c>
      <c r="O12" s="1">
        <v>3</v>
      </c>
      <c r="P12" s="1">
        <v>3</v>
      </c>
      <c r="Q12" s="1">
        <v>3</v>
      </c>
      <c r="R12">
        <f t="shared" si="0"/>
        <v>3.3333333333333335</v>
      </c>
      <c r="U12" s="2">
        <v>9</v>
      </c>
      <c r="V12" s="3" t="s">
        <v>9</v>
      </c>
      <c r="W12" s="1">
        <v>5</v>
      </c>
      <c r="X12" s="1">
        <v>2</v>
      </c>
      <c r="Y12" s="1">
        <v>5</v>
      </c>
      <c r="Z12" s="1">
        <v>3</v>
      </c>
      <c r="AA12" s="1">
        <v>2</v>
      </c>
      <c r="AB12" s="1">
        <v>2</v>
      </c>
      <c r="AC12" s="1">
        <v>3</v>
      </c>
      <c r="AD12" s="1">
        <v>4</v>
      </c>
      <c r="AE12" s="1">
        <v>4</v>
      </c>
      <c r="AF12" s="1">
        <v>5</v>
      </c>
      <c r="AG12" s="1">
        <v>19</v>
      </c>
      <c r="AH12" s="1">
        <v>16</v>
      </c>
      <c r="AI12" s="1">
        <v>57.5</v>
      </c>
      <c r="AJ12" s="1">
        <v>20</v>
      </c>
      <c r="AK12" s="1">
        <v>20</v>
      </c>
      <c r="AL12" s="1">
        <v>40</v>
      </c>
      <c r="AM12" s="1">
        <v>60</v>
      </c>
      <c r="AN12" s="1">
        <v>60</v>
      </c>
      <c r="AO12" s="1">
        <v>5</v>
      </c>
      <c r="AP12">
        <f t="shared" si="1"/>
        <v>34.166666666666664</v>
      </c>
    </row>
    <row r="13" spans="1:42" x14ac:dyDescent="0.35">
      <c r="A13" s="2">
        <v>10</v>
      </c>
      <c r="B13" s="3" t="s">
        <v>10</v>
      </c>
      <c r="C13" s="1">
        <v>3</v>
      </c>
      <c r="D13" s="1">
        <v>5</v>
      </c>
      <c r="E13" s="1">
        <v>3</v>
      </c>
      <c r="F13" s="1">
        <v>4</v>
      </c>
      <c r="G13" s="1">
        <v>2</v>
      </c>
      <c r="H13" s="1">
        <v>2</v>
      </c>
      <c r="I13" s="1">
        <v>5</v>
      </c>
      <c r="J13" s="1">
        <v>1</v>
      </c>
      <c r="K13" s="1">
        <v>4</v>
      </c>
      <c r="L13" s="1">
        <v>4</v>
      </c>
      <c r="M13" s="1">
        <v>3</v>
      </c>
      <c r="N13" s="1">
        <v>5</v>
      </c>
      <c r="O13" s="1">
        <v>4</v>
      </c>
      <c r="P13" s="1">
        <v>3</v>
      </c>
      <c r="Q13" s="1">
        <v>4</v>
      </c>
      <c r="R13">
        <f t="shared" si="0"/>
        <v>3.4666666666666668</v>
      </c>
      <c r="U13" s="2">
        <v>10</v>
      </c>
      <c r="V13" s="3" t="s">
        <v>10</v>
      </c>
      <c r="W13" s="1">
        <v>2</v>
      </c>
      <c r="X13" s="1">
        <v>1</v>
      </c>
      <c r="Y13" s="1">
        <v>2</v>
      </c>
      <c r="Z13" s="1">
        <v>3</v>
      </c>
      <c r="AA13" s="1">
        <v>3</v>
      </c>
      <c r="AB13" s="1">
        <v>2</v>
      </c>
      <c r="AC13" s="1">
        <v>3</v>
      </c>
      <c r="AD13" s="1">
        <v>4</v>
      </c>
      <c r="AE13" s="1">
        <v>1</v>
      </c>
      <c r="AF13" s="1">
        <v>4</v>
      </c>
      <c r="AG13" s="1">
        <v>11</v>
      </c>
      <c r="AH13" s="1">
        <v>14</v>
      </c>
      <c r="AI13" s="1">
        <v>42.5</v>
      </c>
      <c r="AJ13" s="1">
        <v>20</v>
      </c>
      <c r="AK13" s="1">
        <v>40</v>
      </c>
      <c r="AL13" s="1">
        <v>40</v>
      </c>
      <c r="AM13" s="1">
        <v>40</v>
      </c>
      <c r="AN13" s="1">
        <v>20</v>
      </c>
      <c r="AO13" s="1">
        <v>40</v>
      </c>
      <c r="AP13">
        <f t="shared" si="1"/>
        <v>33.333333333333336</v>
      </c>
    </row>
    <row r="14" spans="1:42" x14ac:dyDescent="0.35">
      <c r="A14" s="2">
        <v>11</v>
      </c>
      <c r="B14" s="3" t="s">
        <v>11</v>
      </c>
      <c r="C14" s="1">
        <v>4</v>
      </c>
      <c r="D14" s="1">
        <v>3</v>
      </c>
      <c r="E14" s="1">
        <v>3</v>
      </c>
      <c r="F14" s="1">
        <v>3</v>
      </c>
      <c r="G14" s="1">
        <v>2</v>
      </c>
      <c r="H14" s="1">
        <v>2</v>
      </c>
      <c r="I14" s="1">
        <v>6</v>
      </c>
      <c r="J14" s="1">
        <v>2</v>
      </c>
      <c r="K14" s="1">
        <v>3</v>
      </c>
      <c r="L14" s="1">
        <v>4</v>
      </c>
      <c r="M14" s="1">
        <v>3</v>
      </c>
      <c r="N14" s="1">
        <v>1</v>
      </c>
      <c r="O14" s="1">
        <v>4</v>
      </c>
      <c r="P14" s="1">
        <v>3</v>
      </c>
      <c r="Q14" s="1">
        <v>2</v>
      </c>
      <c r="R14">
        <f t="shared" si="0"/>
        <v>3</v>
      </c>
      <c r="U14" s="2">
        <v>11</v>
      </c>
      <c r="V14" s="3" t="s">
        <v>11</v>
      </c>
      <c r="W14" s="1">
        <v>3</v>
      </c>
      <c r="X14" s="1">
        <v>4</v>
      </c>
      <c r="Y14" s="1">
        <v>3</v>
      </c>
      <c r="Z14" s="1">
        <v>1</v>
      </c>
      <c r="AA14" s="1">
        <v>2</v>
      </c>
      <c r="AB14" s="1">
        <v>1</v>
      </c>
      <c r="AC14" s="1">
        <v>2</v>
      </c>
      <c r="AD14" s="1">
        <v>1</v>
      </c>
      <c r="AE14" s="1">
        <v>1</v>
      </c>
      <c r="AF14" s="1">
        <v>1</v>
      </c>
      <c r="AG14" s="1">
        <v>11</v>
      </c>
      <c r="AH14" s="1">
        <v>8</v>
      </c>
      <c r="AI14" s="1">
        <v>57.5</v>
      </c>
      <c r="AJ14" s="1">
        <v>20</v>
      </c>
      <c r="AK14" s="1">
        <v>20</v>
      </c>
      <c r="AL14" s="1">
        <v>20</v>
      </c>
      <c r="AM14" s="1">
        <v>20</v>
      </c>
      <c r="AN14" s="1">
        <v>20</v>
      </c>
      <c r="AO14" s="1">
        <v>20</v>
      </c>
      <c r="AP14">
        <f t="shared" si="1"/>
        <v>20</v>
      </c>
    </row>
    <row r="15" spans="1:42" x14ac:dyDescent="0.35">
      <c r="A15" s="2">
        <v>12</v>
      </c>
      <c r="B15" s="3" t="s">
        <v>12</v>
      </c>
      <c r="C15" s="1">
        <v>3</v>
      </c>
      <c r="D15" s="1">
        <v>4</v>
      </c>
      <c r="E15" s="1">
        <v>4</v>
      </c>
      <c r="F15" s="1">
        <v>4</v>
      </c>
      <c r="G15" s="1">
        <v>7</v>
      </c>
      <c r="H15" s="1">
        <v>3</v>
      </c>
      <c r="I15" s="1">
        <v>2</v>
      </c>
      <c r="J15" s="1">
        <v>5</v>
      </c>
      <c r="K15" s="1">
        <v>3</v>
      </c>
      <c r="L15" s="1">
        <v>4</v>
      </c>
      <c r="M15" s="1">
        <v>2</v>
      </c>
      <c r="N15" s="1">
        <v>1</v>
      </c>
      <c r="O15" s="1">
        <v>5</v>
      </c>
      <c r="P15" s="1">
        <v>5</v>
      </c>
      <c r="Q15" s="1">
        <v>2</v>
      </c>
      <c r="R15">
        <f t="shared" si="0"/>
        <v>3.6</v>
      </c>
      <c r="U15" s="2">
        <v>12</v>
      </c>
      <c r="V15" s="3" t="s">
        <v>12</v>
      </c>
      <c r="W15" s="1">
        <v>2</v>
      </c>
      <c r="X15" s="1">
        <v>1</v>
      </c>
      <c r="Y15" s="1">
        <v>1</v>
      </c>
      <c r="Z15" s="1">
        <v>3</v>
      </c>
      <c r="AA15" s="1">
        <v>2</v>
      </c>
      <c r="AB15" s="1">
        <v>2</v>
      </c>
      <c r="AC15" s="1">
        <v>4</v>
      </c>
      <c r="AD15" s="1">
        <v>3</v>
      </c>
      <c r="AE15" s="1">
        <v>4</v>
      </c>
      <c r="AF15" s="1">
        <v>5</v>
      </c>
      <c r="AG15" s="1">
        <v>13</v>
      </c>
      <c r="AH15" s="1">
        <v>14</v>
      </c>
      <c r="AI15" s="1">
        <v>47.5</v>
      </c>
      <c r="AJ15" s="1">
        <v>5</v>
      </c>
      <c r="AK15" s="1">
        <v>20</v>
      </c>
      <c r="AL15" s="1">
        <v>5</v>
      </c>
      <c r="AM15" s="1">
        <v>40</v>
      </c>
      <c r="AN15" s="1">
        <v>40</v>
      </c>
      <c r="AO15" s="1">
        <v>60</v>
      </c>
      <c r="AP15">
        <f t="shared" si="1"/>
        <v>28.333333333333332</v>
      </c>
    </row>
    <row r="16" spans="1:42" x14ac:dyDescent="0.35">
      <c r="A16" s="2">
        <v>13</v>
      </c>
      <c r="B16" s="3" t="s">
        <v>13</v>
      </c>
      <c r="C16" s="1">
        <v>2</v>
      </c>
      <c r="D16" s="1">
        <v>4</v>
      </c>
      <c r="E16" s="1">
        <v>3</v>
      </c>
      <c r="F16" s="1">
        <v>4</v>
      </c>
      <c r="G16" s="1">
        <v>3</v>
      </c>
      <c r="H16" s="1">
        <v>3</v>
      </c>
      <c r="I16" s="1">
        <v>1</v>
      </c>
      <c r="J16" s="1">
        <v>2</v>
      </c>
      <c r="K16" s="1">
        <v>3</v>
      </c>
      <c r="L16" s="1">
        <v>3</v>
      </c>
      <c r="M16" s="1">
        <v>2</v>
      </c>
      <c r="N16" s="1">
        <v>2</v>
      </c>
      <c r="O16" s="1">
        <v>3</v>
      </c>
      <c r="P16" s="1">
        <v>2</v>
      </c>
      <c r="Q16" s="1">
        <v>3</v>
      </c>
      <c r="R16">
        <f t="shared" si="0"/>
        <v>2.6666666666666665</v>
      </c>
      <c r="U16" s="2">
        <v>13</v>
      </c>
      <c r="V16" s="3" t="s">
        <v>13</v>
      </c>
      <c r="W16" s="1">
        <v>2</v>
      </c>
      <c r="X16" s="1">
        <v>2</v>
      </c>
      <c r="Y16" s="1">
        <v>1</v>
      </c>
      <c r="Z16" s="1">
        <v>4</v>
      </c>
      <c r="AA16" s="1">
        <v>1</v>
      </c>
      <c r="AB16" s="1">
        <v>3</v>
      </c>
      <c r="AC16" s="1">
        <v>2</v>
      </c>
      <c r="AD16" s="1">
        <v>1</v>
      </c>
      <c r="AE16" s="1">
        <v>3</v>
      </c>
      <c r="AF16" s="1">
        <v>4</v>
      </c>
      <c r="AG16" s="1">
        <v>9</v>
      </c>
      <c r="AH16" s="1">
        <v>14</v>
      </c>
      <c r="AI16" s="1">
        <v>37.5</v>
      </c>
      <c r="AJ16" s="1">
        <v>5</v>
      </c>
      <c r="AK16" s="1">
        <v>5</v>
      </c>
      <c r="AL16" s="1">
        <v>20</v>
      </c>
      <c r="AM16" s="1">
        <v>85</v>
      </c>
      <c r="AN16" s="1">
        <v>60</v>
      </c>
      <c r="AO16" s="1">
        <v>40</v>
      </c>
      <c r="AP16">
        <f t="shared" si="1"/>
        <v>35.833333333333336</v>
      </c>
    </row>
    <row r="17" spans="1:42" x14ac:dyDescent="0.35">
      <c r="A17" s="2">
        <v>14</v>
      </c>
      <c r="B17" s="3" t="s">
        <v>14</v>
      </c>
      <c r="C17" s="1">
        <v>2</v>
      </c>
      <c r="D17" s="1">
        <v>3</v>
      </c>
      <c r="E17" s="1">
        <v>5</v>
      </c>
      <c r="F17" s="1">
        <v>7</v>
      </c>
      <c r="G17" s="1">
        <v>2</v>
      </c>
      <c r="H17" s="1">
        <v>4</v>
      </c>
      <c r="I17" s="1">
        <v>2</v>
      </c>
      <c r="J17" s="1">
        <v>2</v>
      </c>
      <c r="K17" s="1">
        <v>3</v>
      </c>
      <c r="L17" s="1">
        <v>3</v>
      </c>
      <c r="M17" s="1">
        <v>3</v>
      </c>
      <c r="N17" s="1">
        <v>5</v>
      </c>
      <c r="O17" s="1">
        <v>6</v>
      </c>
      <c r="P17" s="1">
        <v>2</v>
      </c>
      <c r="Q17" s="1">
        <v>4</v>
      </c>
      <c r="R17">
        <f t="shared" si="0"/>
        <v>3.5333333333333332</v>
      </c>
      <c r="U17" s="2">
        <v>14</v>
      </c>
      <c r="V17" s="3" t="s">
        <v>14</v>
      </c>
      <c r="W17" s="1">
        <v>4</v>
      </c>
      <c r="X17" s="1">
        <v>3</v>
      </c>
      <c r="Y17" s="1">
        <v>3</v>
      </c>
      <c r="Z17" s="1">
        <v>2</v>
      </c>
      <c r="AA17" s="1">
        <v>1</v>
      </c>
      <c r="AB17" s="1">
        <v>2</v>
      </c>
      <c r="AC17" s="1">
        <v>3</v>
      </c>
      <c r="AD17" s="1">
        <v>2</v>
      </c>
      <c r="AE17" s="1">
        <v>4</v>
      </c>
      <c r="AF17" s="1">
        <v>3</v>
      </c>
      <c r="AG17" s="1">
        <v>15</v>
      </c>
      <c r="AH17" s="1">
        <v>12</v>
      </c>
      <c r="AI17" s="1">
        <v>57.5</v>
      </c>
      <c r="AJ17" s="1">
        <v>20</v>
      </c>
      <c r="AK17" s="1">
        <v>20</v>
      </c>
      <c r="AL17" s="1">
        <v>5</v>
      </c>
      <c r="AM17" s="1">
        <v>20</v>
      </c>
      <c r="AN17" s="1">
        <v>40</v>
      </c>
      <c r="AO17" s="1">
        <v>40</v>
      </c>
      <c r="AP17">
        <f t="shared" si="1"/>
        <v>24.166666666666668</v>
      </c>
    </row>
    <row r="18" spans="1:42" x14ac:dyDescent="0.35">
      <c r="A18" s="2">
        <v>15</v>
      </c>
      <c r="B18" s="3" t="s">
        <v>15</v>
      </c>
      <c r="C18" s="1">
        <v>2</v>
      </c>
      <c r="D18" s="1">
        <v>4</v>
      </c>
      <c r="E18" s="1">
        <v>3</v>
      </c>
      <c r="F18" s="1">
        <v>4</v>
      </c>
      <c r="G18" s="1">
        <v>3</v>
      </c>
      <c r="H18" s="1">
        <v>3</v>
      </c>
      <c r="I18" s="1">
        <v>4</v>
      </c>
      <c r="J18" s="1">
        <v>3</v>
      </c>
      <c r="K18" s="1">
        <v>4</v>
      </c>
      <c r="L18" s="1">
        <v>2</v>
      </c>
      <c r="M18" s="1">
        <v>4</v>
      </c>
      <c r="N18" s="1">
        <v>2</v>
      </c>
      <c r="O18" s="1">
        <v>4</v>
      </c>
      <c r="P18" s="1">
        <v>3</v>
      </c>
      <c r="Q18" s="1">
        <v>2</v>
      </c>
      <c r="R18">
        <f t="shared" si="0"/>
        <v>3.1333333333333333</v>
      </c>
      <c r="U18" s="2">
        <v>15</v>
      </c>
      <c r="V18" s="3" t="s">
        <v>15</v>
      </c>
      <c r="W18" s="1">
        <v>5</v>
      </c>
      <c r="X18" s="1">
        <v>3</v>
      </c>
      <c r="Y18" s="1">
        <v>3</v>
      </c>
      <c r="Z18" s="1">
        <v>1</v>
      </c>
      <c r="AA18" s="1">
        <v>1</v>
      </c>
      <c r="AB18" s="1">
        <v>4</v>
      </c>
      <c r="AC18" s="1">
        <v>2</v>
      </c>
      <c r="AD18" s="1">
        <v>3</v>
      </c>
      <c r="AE18" s="1">
        <v>5</v>
      </c>
      <c r="AF18" s="1">
        <v>1</v>
      </c>
      <c r="AG18" s="1">
        <v>16</v>
      </c>
      <c r="AH18" s="1">
        <v>12</v>
      </c>
      <c r="AI18" s="1">
        <v>60</v>
      </c>
      <c r="AJ18" s="1">
        <v>20</v>
      </c>
      <c r="AK18" s="1">
        <v>20</v>
      </c>
      <c r="AL18" s="1">
        <v>40</v>
      </c>
      <c r="AM18" s="1">
        <v>40</v>
      </c>
      <c r="AN18" s="1">
        <v>60</v>
      </c>
      <c r="AO18" s="1">
        <v>60</v>
      </c>
      <c r="AP18">
        <f t="shared" si="1"/>
        <v>40</v>
      </c>
    </row>
    <row r="19" spans="1:42" x14ac:dyDescent="0.35">
      <c r="A19" s="2">
        <v>16</v>
      </c>
      <c r="B19" s="3" t="s">
        <v>16</v>
      </c>
      <c r="C19" s="1">
        <v>3</v>
      </c>
      <c r="D19" s="1">
        <v>4</v>
      </c>
      <c r="E19" s="1">
        <v>4</v>
      </c>
      <c r="F19" s="1">
        <v>3</v>
      </c>
      <c r="G19" s="1">
        <v>5</v>
      </c>
      <c r="H19" s="1">
        <v>5</v>
      </c>
      <c r="I19" s="1">
        <v>3</v>
      </c>
      <c r="J19" s="1">
        <v>4</v>
      </c>
      <c r="K19" s="1">
        <v>5</v>
      </c>
      <c r="L19" s="1">
        <v>2</v>
      </c>
      <c r="M19" s="1">
        <v>2</v>
      </c>
      <c r="N19" s="1">
        <v>2</v>
      </c>
      <c r="O19" s="1">
        <v>3</v>
      </c>
      <c r="P19" s="1">
        <v>3</v>
      </c>
      <c r="Q19" s="1">
        <v>3</v>
      </c>
      <c r="R19">
        <f t="shared" si="0"/>
        <v>3.4</v>
      </c>
      <c r="U19" s="2">
        <v>16</v>
      </c>
      <c r="V19" s="3" t="s">
        <v>16</v>
      </c>
      <c r="W19" s="1">
        <v>2</v>
      </c>
      <c r="X19" s="1">
        <v>1</v>
      </c>
      <c r="Y19" s="1">
        <v>3</v>
      </c>
      <c r="Z19" s="1">
        <v>3</v>
      </c>
      <c r="AA19" s="1">
        <v>2</v>
      </c>
      <c r="AB19" s="1">
        <v>5</v>
      </c>
      <c r="AC19" s="1">
        <v>3</v>
      </c>
      <c r="AD19" s="1">
        <v>2</v>
      </c>
      <c r="AE19" s="1">
        <v>2</v>
      </c>
      <c r="AF19" s="1">
        <v>4</v>
      </c>
      <c r="AG19" s="1">
        <v>12</v>
      </c>
      <c r="AH19" s="1">
        <v>15</v>
      </c>
      <c r="AI19" s="1">
        <v>42.5</v>
      </c>
      <c r="AJ19" s="1">
        <v>5</v>
      </c>
      <c r="AK19" s="1">
        <v>40</v>
      </c>
      <c r="AL19" s="1">
        <v>40</v>
      </c>
      <c r="AM19" s="1">
        <v>60</v>
      </c>
      <c r="AN19" s="1">
        <v>60</v>
      </c>
      <c r="AO19" s="1">
        <v>60</v>
      </c>
      <c r="AP19">
        <f t="shared" si="1"/>
        <v>44.166666666666664</v>
      </c>
    </row>
    <row r="20" spans="1:42" x14ac:dyDescent="0.35">
      <c r="A20" s="2">
        <v>17</v>
      </c>
      <c r="B20" s="3" t="s">
        <v>17</v>
      </c>
      <c r="C20" s="1">
        <v>4</v>
      </c>
      <c r="D20" s="1">
        <v>3</v>
      </c>
      <c r="E20" s="1">
        <v>4</v>
      </c>
      <c r="F20" s="1">
        <v>5</v>
      </c>
      <c r="G20" s="1">
        <v>6</v>
      </c>
      <c r="H20" s="1">
        <v>3</v>
      </c>
      <c r="I20" s="1">
        <v>4</v>
      </c>
      <c r="J20" s="1">
        <v>1</v>
      </c>
      <c r="K20" s="1">
        <v>5</v>
      </c>
      <c r="L20" s="1">
        <v>4</v>
      </c>
      <c r="M20" s="1">
        <v>2</v>
      </c>
      <c r="N20" s="1">
        <v>3</v>
      </c>
      <c r="O20" s="1">
        <v>5</v>
      </c>
      <c r="P20" s="1">
        <v>4</v>
      </c>
      <c r="Q20" s="1">
        <v>3</v>
      </c>
      <c r="R20">
        <f t="shared" si="0"/>
        <v>3.7333333333333334</v>
      </c>
      <c r="U20" s="2">
        <v>17</v>
      </c>
      <c r="V20" s="3" t="s">
        <v>17</v>
      </c>
      <c r="W20" s="1">
        <v>1</v>
      </c>
      <c r="X20" s="1">
        <v>2</v>
      </c>
      <c r="Y20" s="1">
        <v>1</v>
      </c>
      <c r="Z20" s="1">
        <v>3</v>
      </c>
      <c r="AA20" s="1">
        <v>3</v>
      </c>
      <c r="AB20" s="1">
        <v>4</v>
      </c>
      <c r="AC20" s="1">
        <v>3</v>
      </c>
      <c r="AD20" s="1">
        <v>5</v>
      </c>
      <c r="AE20" s="1">
        <v>3</v>
      </c>
      <c r="AF20" s="1">
        <v>5</v>
      </c>
      <c r="AG20" s="1">
        <v>11</v>
      </c>
      <c r="AH20" s="1">
        <v>19</v>
      </c>
      <c r="AI20" s="1">
        <v>30</v>
      </c>
      <c r="AJ20" s="1">
        <v>5</v>
      </c>
      <c r="AK20" s="1">
        <v>40</v>
      </c>
      <c r="AL20" s="1">
        <v>20</v>
      </c>
      <c r="AM20" s="1">
        <v>40</v>
      </c>
      <c r="AN20" s="1">
        <v>40</v>
      </c>
      <c r="AO20" s="1">
        <v>20</v>
      </c>
      <c r="AP20">
        <f t="shared" si="1"/>
        <v>27.5</v>
      </c>
    </row>
    <row r="21" spans="1:42" x14ac:dyDescent="0.35">
      <c r="A21" s="2">
        <v>18</v>
      </c>
      <c r="B21" s="3" t="s">
        <v>18</v>
      </c>
      <c r="C21" s="1">
        <v>4</v>
      </c>
      <c r="D21" s="1">
        <v>2</v>
      </c>
      <c r="E21" s="1">
        <v>2</v>
      </c>
      <c r="F21" s="1">
        <v>3</v>
      </c>
      <c r="G21" s="1">
        <v>4</v>
      </c>
      <c r="H21" s="1">
        <v>4</v>
      </c>
      <c r="I21" s="1">
        <v>3</v>
      </c>
      <c r="J21" s="1">
        <v>2</v>
      </c>
      <c r="K21" s="1">
        <v>4</v>
      </c>
      <c r="L21" s="1">
        <v>2</v>
      </c>
      <c r="M21" s="1">
        <v>3</v>
      </c>
      <c r="N21" s="1">
        <v>3</v>
      </c>
      <c r="O21" s="1">
        <v>3</v>
      </c>
      <c r="P21" s="1">
        <v>3</v>
      </c>
      <c r="Q21" s="1">
        <v>3</v>
      </c>
      <c r="R21">
        <f t="shared" si="0"/>
        <v>3</v>
      </c>
      <c r="U21" s="2">
        <f>18</f>
        <v>18</v>
      </c>
      <c r="V21" s="3" t="s">
        <v>18</v>
      </c>
      <c r="W21" s="1">
        <v>2</v>
      </c>
      <c r="X21" s="1">
        <v>2</v>
      </c>
      <c r="Y21" s="1">
        <v>1</v>
      </c>
      <c r="Z21" s="1">
        <v>2</v>
      </c>
      <c r="AA21" s="1">
        <v>2</v>
      </c>
      <c r="AB21" s="1">
        <v>2</v>
      </c>
      <c r="AC21" s="1">
        <v>3</v>
      </c>
      <c r="AD21" s="1">
        <v>2</v>
      </c>
      <c r="AE21" s="1">
        <v>4</v>
      </c>
      <c r="AF21" s="1">
        <v>5</v>
      </c>
      <c r="AG21" s="1">
        <v>12</v>
      </c>
      <c r="AH21" s="1">
        <v>13</v>
      </c>
      <c r="AI21" s="1">
        <v>47.5</v>
      </c>
      <c r="AJ21" s="1">
        <v>20</v>
      </c>
      <c r="AK21" s="1">
        <v>20</v>
      </c>
      <c r="AL21" s="1">
        <v>5</v>
      </c>
      <c r="AM21" s="1">
        <v>40</v>
      </c>
      <c r="AN21" s="1">
        <v>40</v>
      </c>
      <c r="AO21" s="1">
        <v>60</v>
      </c>
      <c r="AP21">
        <f t="shared" si="1"/>
        <v>30.833333333333332</v>
      </c>
    </row>
    <row r="22" spans="1:42" x14ac:dyDescent="0.35">
      <c r="A22" s="2">
        <v>19</v>
      </c>
      <c r="B22" s="3" t="s">
        <v>19</v>
      </c>
      <c r="C22" s="1">
        <v>4</v>
      </c>
      <c r="D22" s="1">
        <v>3</v>
      </c>
      <c r="E22" s="1">
        <v>5</v>
      </c>
      <c r="F22" s="1">
        <v>4</v>
      </c>
      <c r="G22" s="1">
        <v>5</v>
      </c>
      <c r="H22" s="1">
        <v>4</v>
      </c>
      <c r="I22" s="1">
        <v>5</v>
      </c>
      <c r="J22" s="1">
        <v>3</v>
      </c>
      <c r="K22" s="1">
        <v>3</v>
      </c>
      <c r="L22" s="1">
        <v>2</v>
      </c>
      <c r="M22" s="1">
        <v>4</v>
      </c>
      <c r="N22" s="1">
        <v>4</v>
      </c>
      <c r="O22" s="1">
        <v>7</v>
      </c>
      <c r="P22" s="1">
        <v>5</v>
      </c>
      <c r="Q22" s="1">
        <v>2</v>
      </c>
      <c r="R22">
        <f t="shared" si="0"/>
        <v>4</v>
      </c>
      <c r="U22" s="2">
        <v>19</v>
      </c>
      <c r="V22" s="3" t="s">
        <v>19</v>
      </c>
      <c r="W22" s="1">
        <v>2</v>
      </c>
      <c r="X22" s="1">
        <v>2</v>
      </c>
      <c r="Y22" s="1">
        <v>1</v>
      </c>
      <c r="Z22" s="1">
        <v>3</v>
      </c>
      <c r="AA22" s="1">
        <v>2</v>
      </c>
      <c r="AB22" s="1">
        <v>3</v>
      </c>
      <c r="AC22" s="1">
        <v>2</v>
      </c>
      <c r="AD22" s="1">
        <v>4</v>
      </c>
      <c r="AE22" s="1">
        <v>4</v>
      </c>
      <c r="AF22" s="1">
        <v>5</v>
      </c>
      <c r="AG22" s="1">
        <v>11</v>
      </c>
      <c r="AH22" s="1">
        <v>17</v>
      </c>
      <c r="AI22" s="1">
        <v>35</v>
      </c>
      <c r="AJ22" s="1">
        <v>40</v>
      </c>
      <c r="AK22" s="1">
        <v>20</v>
      </c>
      <c r="AL22" s="1">
        <v>40</v>
      </c>
      <c r="AM22" s="1">
        <v>20</v>
      </c>
      <c r="AN22" s="1">
        <v>40</v>
      </c>
      <c r="AO22" s="1">
        <v>60</v>
      </c>
      <c r="AP22">
        <f t="shared" si="1"/>
        <v>36.666666666666664</v>
      </c>
    </row>
    <row r="23" spans="1:42" x14ac:dyDescent="0.35">
      <c r="A23" s="2">
        <v>20</v>
      </c>
      <c r="B23" s="3" t="s">
        <v>20</v>
      </c>
      <c r="C23" s="1">
        <v>3</v>
      </c>
      <c r="D23" s="1">
        <v>4</v>
      </c>
      <c r="E23" s="1">
        <v>1</v>
      </c>
      <c r="F23" s="1">
        <v>4</v>
      </c>
      <c r="G23" s="1">
        <v>1</v>
      </c>
      <c r="H23" s="1">
        <v>2</v>
      </c>
      <c r="I23" s="1">
        <v>3</v>
      </c>
      <c r="J23" s="1">
        <v>3</v>
      </c>
      <c r="K23" s="1">
        <v>4</v>
      </c>
      <c r="L23" s="1">
        <v>2</v>
      </c>
      <c r="M23" s="1">
        <v>4</v>
      </c>
      <c r="N23" s="1">
        <v>3</v>
      </c>
      <c r="O23" s="1">
        <v>5</v>
      </c>
      <c r="P23" s="1">
        <v>3</v>
      </c>
      <c r="Q23" s="1">
        <v>2</v>
      </c>
      <c r="R23">
        <f t="shared" si="0"/>
        <v>2.9333333333333331</v>
      </c>
      <c r="U23" s="2">
        <v>20</v>
      </c>
      <c r="V23" s="3" t="s">
        <v>20</v>
      </c>
      <c r="W23" s="1">
        <v>1</v>
      </c>
      <c r="X23" s="1">
        <v>2</v>
      </c>
      <c r="Y23" s="1">
        <v>1</v>
      </c>
      <c r="Z23" s="1">
        <v>2</v>
      </c>
      <c r="AA23" s="1">
        <v>2</v>
      </c>
      <c r="AB23" s="1">
        <v>4</v>
      </c>
      <c r="AC23" s="1">
        <v>4</v>
      </c>
      <c r="AD23" s="1">
        <v>3</v>
      </c>
      <c r="AE23" s="1">
        <v>5</v>
      </c>
      <c r="AF23" s="1">
        <v>3</v>
      </c>
      <c r="AG23" s="1">
        <v>13</v>
      </c>
      <c r="AH23" s="1">
        <v>14</v>
      </c>
      <c r="AI23" s="1">
        <v>47.5</v>
      </c>
      <c r="AJ23" s="1">
        <v>5</v>
      </c>
      <c r="AK23" s="1">
        <v>20</v>
      </c>
      <c r="AL23" s="1">
        <v>5</v>
      </c>
      <c r="AM23" s="1">
        <v>20</v>
      </c>
      <c r="AN23" s="1">
        <v>20</v>
      </c>
      <c r="AO23" s="1">
        <v>20</v>
      </c>
      <c r="AP23">
        <f t="shared" si="1"/>
        <v>15</v>
      </c>
    </row>
    <row r="24" spans="1:42" x14ac:dyDescent="0.35">
      <c r="A24" s="2">
        <v>21</v>
      </c>
      <c r="B24" s="3" t="s">
        <v>21</v>
      </c>
      <c r="C24" s="1">
        <v>1</v>
      </c>
      <c r="D24" s="1">
        <v>2</v>
      </c>
      <c r="E24" s="1">
        <v>1</v>
      </c>
      <c r="F24" s="1">
        <v>5</v>
      </c>
      <c r="G24" s="1">
        <v>1</v>
      </c>
      <c r="H24" s="1">
        <v>5</v>
      </c>
      <c r="I24" s="1">
        <v>7</v>
      </c>
      <c r="J24" s="1">
        <v>5</v>
      </c>
      <c r="K24" s="1">
        <v>3</v>
      </c>
      <c r="L24" s="1">
        <v>3</v>
      </c>
      <c r="M24" s="1">
        <v>3</v>
      </c>
      <c r="N24" s="1">
        <v>5</v>
      </c>
      <c r="O24" s="1">
        <v>4</v>
      </c>
      <c r="P24" s="1">
        <v>4</v>
      </c>
      <c r="Q24" s="1">
        <v>3</v>
      </c>
      <c r="R24">
        <f t="shared" si="0"/>
        <v>3.4666666666666668</v>
      </c>
      <c r="U24" s="2">
        <v>21</v>
      </c>
      <c r="V24" s="3" t="s">
        <v>21</v>
      </c>
      <c r="W24" s="1">
        <v>3</v>
      </c>
      <c r="X24" s="1">
        <v>3</v>
      </c>
      <c r="Y24" s="1">
        <v>2</v>
      </c>
      <c r="Z24" s="1">
        <v>3</v>
      </c>
      <c r="AA24" s="1">
        <v>4</v>
      </c>
      <c r="AB24" s="1">
        <v>3</v>
      </c>
      <c r="AC24" s="1">
        <v>4</v>
      </c>
      <c r="AD24" s="1">
        <v>3</v>
      </c>
      <c r="AE24" s="1">
        <v>4</v>
      </c>
      <c r="AF24" s="1">
        <v>3</v>
      </c>
      <c r="AG24" s="1">
        <v>17</v>
      </c>
      <c r="AH24" s="1">
        <v>15</v>
      </c>
      <c r="AI24" s="1">
        <v>55</v>
      </c>
      <c r="AJ24" s="1">
        <v>40</v>
      </c>
      <c r="AK24" s="1">
        <v>40</v>
      </c>
      <c r="AL24" s="1">
        <v>20</v>
      </c>
      <c r="AM24" s="1">
        <v>40</v>
      </c>
      <c r="AN24" s="1">
        <v>40</v>
      </c>
      <c r="AO24" s="1">
        <v>20</v>
      </c>
      <c r="AP24">
        <f t="shared" si="1"/>
        <v>33.333333333333336</v>
      </c>
    </row>
    <row r="25" spans="1:42" x14ac:dyDescent="0.35">
      <c r="A25" s="2">
        <v>22</v>
      </c>
      <c r="B25" s="3" t="s">
        <v>22</v>
      </c>
      <c r="C25" s="1">
        <v>5</v>
      </c>
      <c r="D25" s="1">
        <v>3</v>
      </c>
      <c r="E25" s="1">
        <v>4</v>
      </c>
      <c r="F25" s="1">
        <v>3</v>
      </c>
      <c r="G25" s="1">
        <v>3</v>
      </c>
      <c r="H25" s="1">
        <v>5</v>
      </c>
      <c r="I25" s="1">
        <v>3</v>
      </c>
      <c r="J25" s="1">
        <v>4</v>
      </c>
      <c r="K25" s="1">
        <v>5</v>
      </c>
      <c r="L25" s="1">
        <v>3</v>
      </c>
      <c r="M25" s="1">
        <v>3</v>
      </c>
      <c r="N25" s="1">
        <v>3</v>
      </c>
      <c r="O25" s="1">
        <v>5</v>
      </c>
      <c r="P25" s="1">
        <v>4</v>
      </c>
      <c r="Q25" s="1">
        <v>4</v>
      </c>
      <c r="R25">
        <f t="shared" si="0"/>
        <v>3.8</v>
      </c>
      <c r="U25" s="2">
        <v>22</v>
      </c>
      <c r="V25" s="3" t="s">
        <v>22</v>
      </c>
      <c r="W25" s="1">
        <v>1</v>
      </c>
      <c r="X25" s="1">
        <v>2</v>
      </c>
      <c r="Y25" s="1">
        <v>1</v>
      </c>
      <c r="Z25" s="1">
        <v>3</v>
      </c>
      <c r="AA25" s="1">
        <v>2</v>
      </c>
      <c r="AB25" s="1">
        <v>4</v>
      </c>
      <c r="AC25" s="1">
        <v>3</v>
      </c>
      <c r="AD25" s="1">
        <v>3</v>
      </c>
      <c r="AE25" s="1">
        <v>4</v>
      </c>
      <c r="AF25" s="1">
        <v>3</v>
      </c>
      <c r="AG25" s="1">
        <v>11</v>
      </c>
      <c r="AH25" s="1">
        <v>15</v>
      </c>
      <c r="AI25" s="1">
        <v>40</v>
      </c>
      <c r="AJ25" s="1">
        <v>5</v>
      </c>
      <c r="AK25" s="1">
        <v>20</v>
      </c>
      <c r="AL25" s="1">
        <v>20</v>
      </c>
      <c r="AM25" s="1">
        <v>5</v>
      </c>
      <c r="AN25" s="1">
        <v>60</v>
      </c>
      <c r="AO25" s="1">
        <v>60</v>
      </c>
      <c r="AP25">
        <f t="shared" si="1"/>
        <v>28.333333333333332</v>
      </c>
    </row>
    <row r="26" spans="1:42" x14ac:dyDescent="0.35">
      <c r="A26" s="2">
        <v>23</v>
      </c>
      <c r="B26" s="3" t="s">
        <v>23</v>
      </c>
      <c r="C26" s="1">
        <v>1</v>
      </c>
      <c r="D26" s="1">
        <v>4</v>
      </c>
      <c r="E26" s="1">
        <v>2</v>
      </c>
      <c r="F26" s="1">
        <v>5</v>
      </c>
      <c r="G26" s="1">
        <v>4</v>
      </c>
      <c r="H26" s="1">
        <v>3</v>
      </c>
      <c r="I26" s="1">
        <v>5</v>
      </c>
      <c r="J26" s="1">
        <v>5</v>
      </c>
      <c r="K26" s="1">
        <v>5</v>
      </c>
      <c r="L26" s="1">
        <v>3</v>
      </c>
      <c r="M26" s="1">
        <v>3</v>
      </c>
      <c r="N26" s="1">
        <v>4</v>
      </c>
      <c r="O26" s="1">
        <v>2</v>
      </c>
      <c r="P26" s="1">
        <v>3</v>
      </c>
      <c r="Q26" s="1">
        <v>2</v>
      </c>
      <c r="R26">
        <f t="shared" si="0"/>
        <v>3.4</v>
      </c>
      <c r="U26" s="2">
        <v>23</v>
      </c>
      <c r="V26" s="3" t="s">
        <v>23</v>
      </c>
      <c r="W26" s="1">
        <v>2</v>
      </c>
      <c r="X26" s="1">
        <v>1</v>
      </c>
      <c r="Y26" s="1">
        <v>1</v>
      </c>
      <c r="Z26" s="1">
        <v>2</v>
      </c>
      <c r="AA26" s="1">
        <v>3</v>
      </c>
      <c r="AB26" s="1">
        <v>3</v>
      </c>
      <c r="AC26" s="1">
        <v>2</v>
      </c>
      <c r="AD26" s="1">
        <v>3</v>
      </c>
      <c r="AE26" s="1">
        <v>3</v>
      </c>
      <c r="AF26" s="1">
        <v>5</v>
      </c>
      <c r="AG26" s="1">
        <v>11</v>
      </c>
      <c r="AH26" s="1">
        <v>14</v>
      </c>
      <c r="AI26" s="1">
        <v>42.5</v>
      </c>
      <c r="AJ26" s="1">
        <v>5</v>
      </c>
      <c r="AK26" s="1">
        <v>20</v>
      </c>
      <c r="AL26" s="1">
        <v>20</v>
      </c>
      <c r="AM26" s="1">
        <v>40</v>
      </c>
      <c r="AN26" s="1">
        <v>40</v>
      </c>
      <c r="AO26" s="1">
        <v>20</v>
      </c>
      <c r="AP26">
        <f t="shared" si="1"/>
        <v>24.166666666666668</v>
      </c>
    </row>
    <row r="27" spans="1:42" x14ac:dyDescent="0.35">
      <c r="A27" s="2">
        <v>24</v>
      </c>
      <c r="B27" s="3" t="s">
        <v>24</v>
      </c>
      <c r="C27" s="1">
        <v>1</v>
      </c>
      <c r="D27" s="1">
        <v>2</v>
      </c>
      <c r="E27" s="1">
        <v>4</v>
      </c>
      <c r="F27" s="1">
        <v>5</v>
      </c>
      <c r="G27" s="1">
        <v>2</v>
      </c>
      <c r="H27" s="1">
        <v>6</v>
      </c>
      <c r="I27" s="1">
        <v>1</v>
      </c>
      <c r="J27" s="1">
        <v>2</v>
      </c>
      <c r="K27" s="1">
        <v>5</v>
      </c>
      <c r="L27" s="1">
        <v>4</v>
      </c>
      <c r="M27" s="1">
        <v>4</v>
      </c>
      <c r="N27" s="1">
        <v>4</v>
      </c>
      <c r="O27" s="1">
        <v>1</v>
      </c>
      <c r="P27" s="1">
        <v>3</v>
      </c>
      <c r="Q27" s="1">
        <v>2</v>
      </c>
      <c r="R27">
        <f t="shared" si="0"/>
        <v>3.0666666666666669</v>
      </c>
      <c r="U27" s="2">
        <v>24</v>
      </c>
      <c r="V27" s="3" t="s">
        <v>24</v>
      </c>
      <c r="W27" s="1">
        <v>1</v>
      </c>
      <c r="X27" s="1">
        <v>1</v>
      </c>
      <c r="Y27" s="1">
        <v>3</v>
      </c>
      <c r="Z27" s="1">
        <v>3</v>
      </c>
      <c r="AA27" s="1">
        <v>2</v>
      </c>
      <c r="AB27" s="1">
        <v>4</v>
      </c>
      <c r="AC27" s="1">
        <v>5</v>
      </c>
      <c r="AD27" s="1">
        <v>4</v>
      </c>
      <c r="AE27" s="1">
        <v>4</v>
      </c>
      <c r="AF27" s="1">
        <v>5</v>
      </c>
      <c r="AG27" s="1">
        <v>15</v>
      </c>
      <c r="AH27" s="1">
        <v>17</v>
      </c>
      <c r="AI27" s="1">
        <v>45</v>
      </c>
      <c r="AJ27" s="1">
        <v>5</v>
      </c>
      <c r="AK27" s="1">
        <v>20</v>
      </c>
      <c r="AL27" s="1">
        <v>20</v>
      </c>
      <c r="AM27" s="1">
        <v>40</v>
      </c>
      <c r="AN27" s="1">
        <v>20</v>
      </c>
      <c r="AO27" s="1">
        <v>5</v>
      </c>
      <c r="AP27">
        <f t="shared" si="1"/>
        <v>18.333333333333332</v>
      </c>
    </row>
    <row r="28" spans="1:42" x14ac:dyDescent="0.35">
      <c r="A28" s="2">
        <v>25</v>
      </c>
      <c r="B28" s="3" t="s">
        <v>25</v>
      </c>
      <c r="C28" s="1">
        <v>2</v>
      </c>
      <c r="D28" s="1">
        <v>4</v>
      </c>
      <c r="E28" s="1">
        <v>2</v>
      </c>
      <c r="F28" s="1">
        <v>6</v>
      </c>
      <c r="G28" s="1">
        <v>4</v>
      </c>
      <c r="H28" s="1">
        <v>4</v>
      </c>
      <c r="I28" s="1">
        <v>1</v>
      </c>
      <c r="J28" s="1">
        <v>1</v>
      </c>
      <c r="K28" s="1">
        <v>3</v>
      </c>
      <c r="L28" s="1">
        <v>4</v>
      </c>
      <c r="M28" s="1">
        <v>3</v>
      </c>
      <c r="N28" s="1">
        <v>3</v>
      </c>
      <c r="O28" s="1">
        <v>5</v>
      </c>
      <c r="P28" s="1">
        <v>3</v>
      </c>
      <c r="Q28" s="1">
        <v>3</v>
      </c>
      <c r="R28">
        <f t="shared" si="0"/>
        <v>3.2</v>
      </c>
      <c r="U28" s="2">
        <v>25</v>
      </c>
      <c r="V28" s="3" t="s">
        <v>25</v>
      </c>
      <c r="W28" s="1">
        <v>3</v>
      </c>
      <c r="X28" s="1">
        <v>2</v>
      </c>
      <c r="Y28" s="1">
        <v>3</v>
      </c>
      <c r="Z28" s="1">
        <v>4</v>
      </c>
      <c r="AA28" s="1">
        <v>3</v>
      </c>
      <c r="AB28" s="1">
        <v>3</v>
      </c>
      <c r="AC28" s="1">
        <v>2</v>
      </c>
      <c r="AD28" s="1">
        <v>3</v>
      </c>
      <c r="AE28" s="1">
        <v>4</v>
      </c>
      <c r="AF28" s="1">
        <v>3</v>
      </c>
      <c r="AG28" s="1">
        <v>15</v>
      </c>
      <c r="AH28" s="1">
        <v>15</v>
      </c>
      <c r="AI28" s="1">
        <v>50</v>
      </c>
      <c r="AJ28" s="1">
        <v>60</v>
      </c>
      <c r="AK28" s="1">
        <v>60</v>
      </c>
      <c r="AL28" s="1">
        <v>40</v>
      </c>
      <c r="AM28" s="1">
        <v>40</v>
      </c>
      <c r="AN28" s="1">
        <v>60</v>
      </c>
      <c r="AO28" s="1">
        <v>85</v>
      </c>
      <c r="AP28">
        <f t="shared" si="1"/>
        <v>57.5</v>
      </c>
    </row>
    <row r="29" spans="1:42" x14ac:dyDescent="0.35">
      <c r="A29" s="2">
        <v>26</v>
      </c>
      <c r="B29" s="3" t="s">
        <v>26</v>
      </c>
      <c r="C29" s="1">
        <v>5</v>
      </c>
      <c r="D29" s="1">
        <v>2</v>
      </c>
      <c r="E29" s="1">
        <v>3</v>
      </c>
      <c r="F29" s="1">
        <v>6</v>
      </c>
      <c r="G29" s="1">
        <v>2</v>
      </c>
      <c r="H29" s="1">
        <v>3</v>
      </c>
      <c r="I29" s="1">
        <v>2</v>
      </c>
      <c r="J29" s="1">
        <v>5</v>
      </c>
      <c r="K29" s="1">
        <v>4</v>
      </c>
      <c r="L29" s="1">
        <v>3</v>
      </c>
      <c r="M29" s="1">
        <v>2</v>
      </c>
      <c r="N29" s="1">
        <v>3</v>
      </c>
      <c r="O29" s="1">
        <v>2</v>
      </c>
      <c r="P29" s="1">
        <v>5</v>
      </c>
      <c r="Q29" s="1">
        <v>4</v>
      </c>
      <c r="R29">
        <f t="shared" si="0"/>
        <v>3.4</v>
      </c>
      <c r="U29" s="2">
        <v>26</v>
      </c>
      <c r="V29" s="3" t="s">
        <v>26</v>
      </c>
      <c r="W29" s="1">
        <v>1</v>
      </c>
      <c r="X29" s="1">
        <v>2</v>
      </c>
      <c r="Y29" s="1">
        <v>3</v>
      </c>
      <c r="Z29" s="1">
        <v>2</v>
      </c>
      <c r="AA29" s="1">
        <v>3</v>
      </c>
      <c r="AB29" s="1">
        <v>4</v>
      </c>
      <c r="AC29" s="1">
        <v>2</v>
      </c>
      <c r="AD29" s="1">
        <v>3</v>
      </c>
      <c r="AE29" s="1">
        <v>2</v>
      </c>
      <c r="AF29" s="1">
        <v>3</v>
      </c>
      <c r="AG29" s="1">
        <v>11</v>
      </c>
      <c r="AH29" s="1">
        <v>14</v>
      </c>
      <c r="AI29" s="1">
        <v>42.5</v>
      </c>
      <c r="AJ29" s="1">
        <v>20</v>
      </c>
      <c r="AK29" s="1">
        <v>20</v>
      </c>
      <c r="AL29" s="1">
        <v>5</v>
      </c>
      <c r="AM29" s="1">
        <v>20</v>
      </c>
      <c r="AN29" s="1">
        <v>60</v>
      </c>
      <c r="AO29" s="1">
        <v>40</v>
      </c>
      <c r="AP29">
        <f t="shared" si="1"/>
        <v>27.5</v>
      </c>
    </row>
    <row r="30" spans="1:42" x14ac:dyDescent="0.35">
      <c r="A30" s="2">
        <v>27</v>
      </c>
      <c r="B30" s="3" t="s">
        <v>27</v>
      </c>
      <c r="C30" s="1">
        <v>2</v>
      </c>
      <c r="D30" s="1">
        <v>3</v>
      </c>
      <c r="E30" s="1">
        <v>3</v>
      </c>
      <c r="F30" s="1">
        <v>5</v>
      </c>
      <c r="G30" s="1">
        <v>3</v>
      </c>
      <c r="H30" s="1">
        <v>5</v>
      </c>
      <c r="I30" s="1">
        <v>5</v>
      </c>
      <c r="J30" s="1">
        <v>2</v>
      </c>
      <c r="K30" s="1">
        <v>4</v>
      </c>
      <c r="L30" s="1">
        <v>4</v>
      </c>
      <c r="M30" s="1">
        <v>2</v>
      </c>
      <c r="N30" s="1">
        <v>3</v>
      </c>
      <c r="O30" s="1">
        <v>2</v>
      </c>
      <c r="P30" s="1">
        <v>5</v>
      </c>
      <c r="Q30" s="1">
        <v>5</v>
      </c>
      <c r="R30">
        <f t="shared" si="0"/>
        <v>3.5333333333333332</v>
      </c>
      <c r="U30" s="2">
        <v>27</v>
      </c>
      <c r="V30" s="3" t="s">
        <v>27</v>
      </c>
      <c r="W30" s="1">
        <v>1</v>
      </c>
      <c r="X30" s="1">
        <v>2</v>
      </c>
      <c r="Y30" s="1">
        <v>2</v>
      </c>
      <c r="Z30" s="6">
        <v>1</v>
      </c>
      <c r="AA30" s="1">
        <v>3</v>
      </c>
      <c r="AB30" s="1">
        <v>2</v>
      </c>
      <c r="AC30" s="1">
        <v>4</v>
      </c>
      <c r="AD30" s="1">
        <v>4</v>
      </c>
      <c r="AE30" s="1">
        <v>3</v>
      </c>
      <c r="AF30" s="1">
        <v>4</v>
      </c>
      <c r="AG30" s="1">
        <v>13</v>
      </c>
      <c r="AH30" s="1">
        <v>13</v>
      </c>
      <c r="AI30" s="1">
        <v>50</v>
      </c>
      <c r="AJ30" s="1">
        <v>20</v>
      </c>
      <c r="AK30" s="1">
        <v>40</v>
      </c>
      <c r="AL30" s="1">
        <v>40</v>
      </c>
      <c r="AM30" s="1">
        <v>20</v>
      </c>
      <c r="AN30" s="1">
        <v>40</v>
      </c>
      <c r="AO30" s="1">
        <v>40</v>
      </c>
      <c r="AP30">
        <f t="shared" si="1"/>
        <v>33.333333333333336</v>
      </c>
    </row>
    <row r="31" spans="1:42" x14ac:dyDescent="0.35">
      <c r="A31" s="2">
        <v>28</v>
      </c>
      <c r="B31" s="3" t="s">
        <v>28</v>
      </c>
      <c r="C31" s="1">
        <v>2</v>
      </c>
      <c r="D31" s="1">
        <v>3</v>
      </c>
      <c r="E31" s="1">
        <v>3</v>
      </c>
      <c r="F31" s="1">
        <v>2</v>
      </c>
      <c r="G31" s="1">
        <v>3</v>
      </c>
      <c r="H31" s="1">
        <v>3</v>
      </c>
      <c r="I31" s="1">
        <v>2</v>
      </c>
      <c r="J31" s="4">
        <v>3</v>
      </c>
      <c r="K31" s="1">
        <v>3</v>
      </c>
      <c r="L31" s="1">
        <v>2</v>
      </c>
      <c r="M31" s="1">
        <v>4</v>
      </c>
      <c r="N31" s="1">
        <v>3</v>
      </c>
      <c r="O31" s="1">
        <v>4</v>
      </c>
      <c r="P31" s="1">
        <v>4</v>
      </c>
      <c r="Q31" s="1">
        <v>5</v>
      </c>
      <c r="R31">
        <f t="shared" si="0"/>
        <v>3.0666666666666669</v>
      </c>
      <c r="U31" s="2">
        <v>28</v>
      </c>
      <c r="V31" s="3" t="s">
        <v>28</v>
      </c>
      <c r="W31" s="1">
        <v>1</v>
      </c>
      <c r="X31" s="1">
        <v>3</v>
      </c>
      <c r="Y31" s="1">
        <v>1</v>
      </c>
      <c r="Z31" s="1">
        <v>2</v>
      </c>
      <c r="AA31" s="1">
        <v>5</v>
      </c>
      <c r="AB31" s="1">
        <v>1</v>
      </c>
      <c r="AC31" s="1">
        <v>1</v>
      </c>
      <c r="AD31" s="1">
        <v>3</v>
      </c>
      <c r="AE31" s="1">
        <v>2</v>
      </c>
      <c r="AF31" s="1">
        <v>4</v>
      </c>
      <c r="AG31" s="1">
        <v>10</v>
      </c>
      <c r="AH31" s="1">
        <v>13</v>
      </c>
      <c r="AI31" s="1">
        <v>42.5</v>
      </c>
      <c r="AJ31" s="1">
        <v>5</v>
      </c>
      <c r="AK31" s="1">
        <v>20</v>
      </c>
      <c r="AL31" s="1">
        <v>5</v>
      </c>
      <c r="AM31" s="1">
        <v>85</v>
      </c>
      <c r="AN31" s="1">
        <v>5</v>
      </c>
      <c r="AO31" s="1">
        <v>40</v>
      </c>
      <c r="AP31">
        <f t="shared" si="1"/>
        <v>26.666666666666668</v>
      </c>
    </row>
    <row r="32" spans="1:42" x14ac:dyDescent="0.35">
      <c r="A32" s="2">
        <v>29</v>
      </c>
      <c r="B32" s="3" t="s">
        <v>29</v>
      </c>
      <c r="C32" s="1">
        <v>3</v>
      </c>
      <c r="D32" s="1">
        <v>3</v>
      </c>
      <c r="E32" s="1">
        <v>2</v>
      </c>
      <c r="F32" s="1">
        <v>3</v>
      </c>
      <c r="G32" s="1">
        <v>3</v>
      </c>
      <c r="H32" s="1">
        <v>7</v>
      </c>
      <c r="I32" s="1">
        <v>2</v>
      </c>
      <c r="J32" s="1">
        <v>3</v>
      </c>
      <c r="K32" s="1">
        <v>2</v>
      </c>
      <c r="L32" s="1">
        <v>3</v>
      </c>
      <c r="M32" s="1">
        <v>3</v>
      </c>
      <c r="N32" s="1">
        <v>2</v>
      </c>
      <c r="O32" s="1">
        <v>4</v>
      </c>
      <c r="P32" s="1">
        <v>5</v>
      </c>
      <c r="Q32" s="1">
        <v>5</v>
      </c>
      <c r="R32">
        <f t="shared" si="0"/>
        <v>3.3333333333333335</v>
      </c>
      <c r="U32" s="2">
        <v>29</v>
      </c>
      <c r="V32" s="3" t="s">
        <v>29</v>
      </c>
      <c r="W32" s="1">
        <v>5</v>
      </c>
      <c r="X32" s="1">
        <v>3</v>
      </c>
      <c r="Y32" s="1">
        <v>3</v>
      </c>
      <c r="Z32" s="1">
        <v>2</v>
      </c>
      <c r="AA32" s="1">
        <v>1</v>
      </c>
      <c r="AB32" s="1">
        <v>2</v>
      </c>
      <c r="AC32" s="1">
        <v>3</v>
      </c>
      <c r="AD32" s="1">
        <v>3</v>
      </c>
      <c r="AE32" s="1">
        <v>1</v>
      </c>
      <c r="AF32" s="1">
        <v>2</v>
      </c>
      <c r="AG32" s="1">
        <v>13</v>
      </c>
      <c r="AH32" s="1">
        <v>12</v>
      </c>
      <c r="AI32" s="1">
        <v>52.5</v>
      </c>
      <c r="AJ32" s="1">
        <v>5</v>
      </c>
      <c r="AK32" s="1">
        <v>20</v>
      </c>
      <c r="AL32" s="1">
        <v>20</v>
      </c>
      <c r="AM32" s="1">
        <v>40</v>
      </c>
      <c r="AN32" s="1">
        <v>40</v>
      </c>
      <c r="AO32" s="1">
        <v>60</v>
      </c>
      <c r="AP32">
        <f t="shared" si="1"/>
        <v>30.833333333333332</v>
      </c>
    </row>
    <row r="33" spans="1:42" x14ac:dyDescent="0.35">
      <c r="A33" s="2">
        <v>30</v>
      </c>
      <c r="B33" s="3" t="s">
        <v>30</v>
      </c>
      <c r="C33" s="1">
        <v>4</v>
      </c>
      <c r="D33" s="1">
        <v>2</v>
      </c>
      <c r="E33" s="1">
        <v>2</v>
      </c>
      <c r="F33" s="1">
        <v>3</v>
      </c>
      <c r="G33" s="1">
        <v>5</v>
      </c>
      <c r="H33" s="1">
        <v>5</v>
      </c>
      <c r="I33" s="1">
        <v>3</v>
      </c>
      <c r="J33" s="1">
        <v>5</v>
      </c>
      <c r="K33" s="1">
        <v>3</v>
      </c>
      <c r="L33" s="1">
        <v>4</v>
      </c>
      <c r="M33" s="1">
        <v>3</v>
      </c>
      <c r="N33" s="1">
        <v>3</v>
      </c>
      <c r="O33" s="1">
        <v>5</v>
      </c>
      <c r="P33" s="1">
        <v>2</v>
      </c>
      <c r="Q33" s="1">
        <v>6</v>
      </c>
      <c r="R33">
        <f t="shared" si="0"/>
        <v>3.6666666666666665</v>
      </c>
      <c r="U33" s="2">
        <v>30</v>
      </c>
      <c r="V33" s="3" t="s">
        <v>30</v>
      </c>
      <c r="W33" s="1">
        <v>1</v>
      </c>
      <c r="X33" s="1">
        <v>5</v>
      </c>
      <c r="Y33" s="1">
        <v>3</v>
      </c>
      <c r="Z33" s="1">
        <v>2</v>
      </c>
      <c r="AA33" s="1">
        <v>3</v>
      </c>
      <c r="AB33" s="1">
        <v>2</v>
      </c>
      <c r="AC33" s="1">
        <v>2</v>
      </c>
      <c r="AD33" s="1">
        <v>4</v>
      </c>
      <c r="AE33" s="1">
        <v>2</v>
      </c>
      <c r="AF33" s="1">
        <v>3</v>
      </c>
      <c r="AG33" s="1">
        <v>11</v>
      </c>
      <c r="AH33" s="1">
        <v>16</v>
      </c>
      <c r="AI33" s="1">
        <v>37.5</v>
      </c>
      <c r="AJ33" s="1">
        <v>85</v>
      </c>
      <c r="AK33" s="1">
        <v>5</v>
      </c>
      <c r="AL33" s="1">
        <v>20</v>
      </c>
      <c r="AM33" s="1">
        <v>20</v>
      </c>
      <c r="AN33" s="1">
        <v>40</v>
      </c>
      <c r="AO33" s="1">
        <v>60</v>
      </c>
      <c r="AP33">
        <f t="shared" si="1"/>
        <v>38.333333333333336</v>
      </c>
    </row>
    <row r="34" spans="1:42" x14ac:dyDescent="0.35">
      <c r="A34" s="2">
        <v>31</v>
      </c>
      <c r="B34" s="3" t="s">
        <v>31</v>
      </c>
      <c r="C34" s="1">
        <v>1</v>
      </c>
      <c r="D34" s="1">
        <v>2</v>
      </c>
      <c r="E34" s="1">
        <v>3</v>
      </c>
      <c r="F34" s="1">
        <v>5</v>
      </c>
      <c r="G34" s="1">
        <v>2</v>
      </c>
      <c r="H34" s="1">
        <v>4</v>
      </c>
      <c r="I34" s="1">
        <v>3</v>
      </c>
      <c r="J34" s="1">
        <v>1</v>
      </c>
      <c r="K34" s="1">
        <v>4</v>
      </c>
      <c r="L34" s="1">
        <v>2</v>
      </c>
      <c r="M34" s="1">
        <v>5</v>
      </c>
      <c r="N34" s="1">
        <v>4</v>
      </c>
      <c r="O34" s="1">
        <v>3</v>
      </c>
      <c r="P34" s="1">
        <v>1</v>
      </c>
      <c r="Q34" s="1">
        <v>6</v>
      </c>
      <c r="R34">
        <f t="shared" si="0"/>
        <v>3.0666666666666669</v>
      </c>
      <c r="U34" s="2">
        <v>31</v>
      </c>
      <c r="V34" s="3" t="s">
        <v>31</v>
      </c>
      <c r="W34" s="1">
        <v>5</v>
      </c>
      <c r="X34" s="1">
        <v>4</v>
      </c>
      <c r="Y34" s="1">
        <v>4</v>
      </c>
      <c r="Z34" s="1">
        <v>1</v>
      </c>
      <c r="AA34" s="1">
        <v>2</v>
      </c>
      <c r="AB34" s="1">
        <v>1</v>
      </c>
      <c r="AC34" s="1">
        <v>1</v>
      </c>
      <c r="AD34" s="1">
        <v>4</v>
      </c>
      <c r="AE34" s="1">
        <v>1</v>
      </c>
      <c r="AF34" s="1">
        <v>1</v>
      </c>
      <c r="AG34" s="1">
        <v>13</v>
      </c>
      <c r="AH34" s="1">
        <v>11</v>
      </c>
      <c r="AI34" s="1">
        <v>55</v>
      </c>
      <c r="AJ34" s="1">
        <v>5</v>
      </c>
      <c r="AK34" s="1">
        <v>5</v>
      </c>
      <c r="AL34" s="1">
        <v>20</v>
      </c>
      <c r="AM34" s="1">
        <v>20</v>
      </c>
      <c r="AN34" s="1">
        <v>40</v>
      </c>
      <c r="AO34" s="1">
        <v>40</v>
      </c>
      <c r="AP34">
        <f t="shared" si="1"/>
        <v>21.666666666666668</v>
      </c>
    </row>
    <row r="35" spans="1:42" x14ac:dyDescent="0.35">
      <c r="A35" s="2">
        <v>32</v>
      </c>
      <c r="B35" s="3" t="s">
        <v>32</v>
      </c>
      <c r="C35" s="1">
        <v>2</v>
      </c>
      <c r="D35" s="1">
        <v>3</v>
      </c>
      <c r="E35" s="1">
        <v>4</v>
      </c>
      <c r="F35" s="1">
        <v>1</v>
      </c>
      <c r="G35" s="1">
        <v>2</v>
      </c>
      <c r="H35" s="1">
        <v>5</v>
      </c>
      <c r="I35" s="1">
        <v>4</v>
      </c>
      <c r="J35" s="1">
        <v>1</v>
      </c>
      <c r="K35" s="1">
        <v>2</v>
      </c>
      <c r="L35" s="1">
        <v>4</v>
      </c>
      <c r="M35" s="1">
        <v>5</v>
      </c>
      <c r="N35" s="1">
        <v>2</v>
      </c>
      <c r="O35" s="1">
        <v>6</v>
      </c>
      <c r="P35" s="1">
        <v>5</v>
      </c>
      <c r="Q35" s="1">
        <v>5</v>
      </c>
      <c r="R35">
        <f t="shared" si="0"/>
        <v>3.4</v>
      </c>
      <c r="U35" s="2">
        <v>32</v>
      </c>
      <c r="V35" s="3" t="s">
        <v>32</v>
      </c>
      <c r="W35" s="1">
        <v>1</v>
      </c>
      <c r="X35" s="1">
        <v>2</v>
      </c>
      <c r="Y35" s="1">
        <v>1</v>
      </c>
      <c r="Z35" s="1">
        <v>3</v>
      </c>
      <c r="AA35" s="1">
        <v>2</v>
      </c>
      <c r="AB35" s="1">
        <v>3</v>
      </c>
      <c r="AC35" s="1">
        <v>3</v>
      </c>
      <c r="AD35" s="1">
        <v>2</v>
      </c>
      <c r="AE35" s="1">
        <v>3</v>
      </c>
      <c r="AF35" s="1">
        <v>3</v>
      </c>
      <c r="AG35" s="1">
        <v>10</v>
      </c>
      <c r="AH35" s="1">
        <v>13</v>
      </c>
      <c r="AI35" s="1">
        <v>42.5</v>
      </c>
      <c r="AJ35" s="1">
        <v>5</v>
      </c>
      <c r="AK35" s="1">
        <v>20</v>
      </c>
      <c r="AL35" s="1">
        <v>5</v>
      </c>
      <c r="AM35" s="1">
        <v>20</v>
      </c>
      <c r="AN35" s="1">
        <v>20</v>
      </c>
      <c r="AO35" s="1">
        <v>20</v>
      </c>
      <c r="AP35">
        <f t="shared" si="1"/>
        <v>15</v>
      </c>
    </row>
    <row r="36" spans="1:42" x14ac:dyDescent="0.35">
      <c r="A36" s="2">
        <v>33</v>
      </c>
      <c r="B36" s="3" t="s">
        <v>33</v>
      </c>
      <c r="C36" s="1">
        <v>3</v>
      </c>
      <c r="D36" s="1">
        <v>4</v>
      </c>
      <c r="E36" s="1">
        <v>2</v>
      </c>
      <c r="F36" s="1">
        <v>1</v>
      </c>
      <c r="G36" s="1">
        <v>3</v>
      </c>
      <c r="H36" s="1">
        <v>2</v>
      </c>
      <c r="I36" s="1">
        <v>3</v>
      </c>
      <c r="J36" s="1">
        <v>2</v>
      </c>
      <c r="K36" s="1">
        <v>4</v>
      </c>
      <c r="L36" s="1">
        <v>2</v>
      </c>
      <c r="M36" s="1">
        <v>6</v>
      </c>
      <c r="N36" s="1">
        <v>4</v>
      </c>
      <c r="O36" s="1">
        <v>4</v>
      </c>
      <c r="P36" s="1">
        <v>2</v>
      </c>
      <c r="Q36" s="1">
        <v>2</v>
      </c>
      <c r="R36">
        <f t="shared" si="0"/>
        <v>2.9333333333333331</v>
      </c>
      <c r="U36" s="2">
        <f>33</f>
        <v>33</v>
      </c>
      <c r="V36" s="3" t="s">
        <v>33</v>
      </c>
      <c r="W36" s="1">
        <v>1</v>
      </c>
      <c r="X36" s="1">
        <v>2</v>
      </c>
      <c r="Y36" s="1">
        <v>2</v>
      </c>
      <c r="Z36" s="1">
        <v>4</v>
      </c>
      <c r="AA36" s="1">
        <v>4</v>
      </c>
      <c r="AB36" s="1">
        <v>5</v>
      </c>
      <c r="AC36" s="1">
        <v>4</v>
      </c>
      <c r="AD36" s="1">
        <v>3</v>
      </c>
      <c r="AE36" s="1">
        <v>2</v>
      </c>
      <c r="AF36" s="1">
        <v>3</v>
      </c>
      <c r="AG36" s="1">
        <v>13</v>
      </c>
      <c r="AH36" s="1">
        <v>17</v>
      </c>
      <c r="AI36" s="1">
        <v>40</v>
      </c>
      <c r="AJ36" s="1">
        <v>40</v>
      </c>
      <c r="AK36" s="1">
        <v>60</v>
      </c>
      <c r="AL36" s="1">
        <v>20</v>
      </c>
      <c r="AM36" s="1">
        <v>40</v>
      </c>
      <c r="AN36" s="1">
        <v>40</v>
      </c>
      <c r="AO36" s="1">
        <v>20</v>
      </c>
      <c r="AP36">
        <f t="shared" si="1"/>
        <v>36.666666666666664</v>
      </c>
    </row>
    <row r="37" spans="1:42" x14ac:dyDescent="0.35">
      <c r="A37" s="2">
        <v>34</v>
      </c>
      <c r="B37" s="3" t="s">
        <v>34</v>
      </c>
      <c r="C37" s="1">
        <v>3</v>
      </c>
      <c r="D37" s="1">
        <v>2</v>
      </c>
      <c r="E37" s="1">
        <v>2</v>
      </c>
      <c r="F37" s="1">
        <v>2</v>
      </c>
      <c r="G37" s="1">
        <v>3</v>
      </c>
      <c r="H37" s="1">
        <v>1</v>
      </c>
      <c r="I37" s="1">
        <v>5</v>
      </c>
      <c r="J37" s="1">
        <v>5</v>
      </c>
      <c r="K37" s="1">
        <v>2</v>
      </c>
      <c r="L37" s="1">
        <v>3</v>
      </c>
      <c r="M37" s="1">
        <v>6</v>
      </c>
      <c r="N37" s="1">
        <v>2</v>
      </c>
      <c r="O37" s="1">
        <v>3</v>
      </c>
      <c r="P37" s="1">
        <v>2</v>
      </c>
      <c r="Q37" s="1">
        <v>3</v>
      </c>
      <c r="R37">
        <f t="shared" si="0"/>
        <v>2.9333333333333331</v>
      </c>
      <c r="U37" s="2">
        <v>34</v>
      </c>
      <c r="V37" s="3" t="s">
        <v>34</v>
      </c>
      <c r="W37" s="1">
        <v>1</v>
      </c>
      <c r="X37" s="1">
        <v>2</v>
      </c>
      <c r="Y37" s="1">
        <v>2</v>
      </c>
      <c r="Z37" s="1">
        <v>1</v>
      </c>
      <c r="AA37" s="1">
        <v>2</v>
      </c>
      <c r="AB37" s="1">
        <v>3</v>
      </c>
      <c r="AC37" s="1">
        <v>2</v>
      </c>
      <c r="AD37" s="1">
        <v>2</v>
      </c>
      <c r="AE37" s="1">
        <v>3</v>
      </c>
      <c r="AF37" s="1">
        <v>4</v>
      </c>
      <c r="AG37" s="1">
        <v>10</v>
      </c>
      <c r="AH37" s="1">
        <v>12</v>
      </c>
      <c r="AI37" s="1">
        <v>45</v>
      </c>
      <c r="AJ37" s="1">
        <v>5</v>
      </c>
      <c r="AK37" s="1">
        <v>20</v>
      </c>
      <c r="AL37" s="1">
        <v>20</v>
      </c>
      <c r="AM37" s="1">
        <v>20</v>
      </c>
      <c r="AN37" s="1">
        <v>40</v>
      </c>
      <c r="AO37" s="1">
        <v>60</v>
      </c>
      <c r="AP37">
        <f t="shared" si="1"/>
        <v>27.5</v>
      </c>
    </row>
    <row r="38" spans="1:42" x14ac:dyDescent="0.35">
      <c r="A38" s="2">
        <v>35</v>
      </c>
      <c r="B38" s="3" t="s">
        <v>35</v>
      </c>
      <c r="C38" s="1">
        <v>5</v>
      </c>
      <c r="D38" s="1">
        <v>2</v>
      </c>
      <c r="E38" s="1">
        <v>3</v>
      </c>
      <c r="F38" s="1">
        <v>5</v>
      </c>
      <c r="G38" s="1">
        <v>4</v>
      </c>
      <c r="H38" s="1">
        <v>5</v>
      </c>
      <c r="I38" s="1">
        <v>3</v>
      </c>
      <c r="J38" s="1">
        <v>2</v>
      </c>
      <c r="K38" s="1">
        <v>3</v>
      </c>
      <c r="L38" s="1">
        <v>3</v>
      </c>
      <c r="M38" s="1">
        <v>5</v>
      </c>
      <c r="N38" s="1">
        <v>3</v>
      </c>
      <c r="O38" s="1">
        <v>5</v>
      </c>
      <c r="P38" s="1">
        <v>7</v>
      </c>
      <c r="Q38" s="1">
        <v>3</v>
      </c>
      <c r="R38">
        <f t="shared" si="0"/>
        <v>3.8666666666666667</v>
      </c>
      <c r="U38" s="2">
        <v>35</v>
      </c>
      <c r="V38" s="3" t="s">
        <v>35</v>
      </c>
      <c r="W38" s="1">
        <v>5</v>
      </c>
      <c r="X38" s="1">
        <v>4</v>
      </c>
      <c r="Y38" s="1">
        <v>5</v>
      </c>
      <c r="Z38" s="1">
        <v>1</v>
      </c>
      <c r="AA38" s="1">
        <v>1</v>
      </c>
      <c r="AB38" s="1">
        <v>3</v>
      </c>
      <c r="AC38" s="1">
        <v>2</v>
      </c>
      <c r="AD38" s="1">
        <v>2</v>
      </c>
      <c r="AE38" s="1">
        <v>4</v>
      </c>
      <c r="AF38" s="1">
        <v>2</v>
      </c>
      <c r="AG38" s="1">
        <v>17</v>
      </c>
      <c r="AH38" s="1">
        <v>12</v>
      </c>
      <c r="AI38" s="1">
        <v>62.5</v>
      </c>
      <c r="AJ38" s="1">
        <v>40</v>
      </c>
      <c r="AK38" s="1">
        <v>60</v>
      </c>
      <c r="AL38" s="1">
        <v>85</v>
      </c>
      <c r="AM38" s="1">
        <v>5</v>
      </c>
      <c r="AN38" s="1">
        <v>40</v>
      </c>
      <c r="AO38" s="1">
        <v>85</v>
      </c>
      <c r="AP38">
        <f t="shared" si="1"/>
        <v>52.5</v>
      </c>
    </row>
    <row r="39" spans="1:42" x14ac:dyDescent="0.35">
      <c r="A39" s="2">
        <v>36</v>
      </c>
      <c r="B39" s="3" t="s">
        <v>36</v>
      </c>
      <c r="C39" s="1">
        <v>4</v>
      </c>
      <c r="D39" s="1">
        <v>3</v>
      </c>
      <c r="E39" s="1">
        <v>4</v>
      </c>
      <c r="F39" s="1">
        <v>2</v>
      </c>
      <c r="G39" s="1">
        <v>3</v>
      </c>
      <c r="H39" s="1">
        <v>2</v>
      </c>
      <c r="I39" s="1">
        <v>4</v>
      </c>
      <c r="J39" s="1">
        <v>2</v>
      </c>
      <c r="K39" s="1">
        <v>3</v>
      </c>
      <c r="L39" s="1">
        <v>3</v>
      </c>
      <c r="M39" s="1">
        <v>2</v>
      </c>
      <c r="N39" s="1">
        <v>3</v>
      </c>
      <c r="O39" s="1">
        <v>3</v>
      </c>
      <c r="P39" s="1">
        <v>3</v>
      </c>
      <c r="Q39" s="1">
        <v>5</v>
      </c>
      <c r="R39">
        <f t="shared" si="0"/>
        <v>3.0666666666666669</v>
      </c>
      <c r="U39" s="2">
        <v>36</v>
      </c>
      <c r="V39" s="3" t="s">
        <v>36</v>
      </c>
      <c r="W39" s="1">
        <v>1</v>
      </c>
      <c r="X39" s="1">
        <v>4</v>
      </c>
      <c r="Y39" s="1">
        <v>1</v>
      </c>
      <c r="Z39" s="1">
        <v>3</v>
      </c>
      <c r="AA39" s="1">
        <v>2</v>
      </c>
      <c r="AB39" s="1">
        <v>3</v>
      </c>
      <c r="AC39" s="1">
        <v>4</v>
      </c>
      <c r="AD39" s="1">
        <v>1</v>
      </c>
      <c r="AE39" s="1">
        <v>3</v>
      </c>
      <c r="AF39" s="1">
        <v>4</v>
      </c>
      <c r="AG39" s="1">
        <v>11</v>
      </c>
      <c r="AH39" s="1">
        <v>15</v>
      </c>
      <c r="AI39" s="1">
        <v>40</v>
      </c>
      <c r="AJ39" s="1">
        <v>20</v>
      </c>
      <c r="AK39" s="1">
        <v>60</v>
      </c>
      <c r="AL39" s="1">
        <v>40</v>
      </c>
      <c r="AM39" s="1">
        <v>60</v>
      </c>
      <c r="AN39" s="1">
        <v>20</v>
      </c>
      <c r="AO39" s="1">
        <v>20</v>
      </c>
      <c r="AP39">
        <f t="shared" si="1"/>
        <v>36.666666666666664</v>
      </c>
    </row>
    <row r="40" spans="1:42" x14ac:dyDescent="0.35">
      <c r="A40" s="2">
        <v>37</v>
      </c>
      <c r="B40" s="3" t="s">
        <v>37</v>
      </c>
      <c r="C40" s="1">
        <v>5</v>
      </c>
      <c r="D40" s="1">
        <v>4</v>
      </c>
      <c r="E40" s="1">
        <v>2</v>
      </c>
      <c r="F40" s="1">
        <v>2</v>
      </c>
      <c r="G40" s="1">
        <v>5</v>
      </c>
      <c r="H40" s="1">
        <v>2</v>
      </c>
      <c r="I40" s="1">
        <v>4</v>
      </c>
      <c r="J40" s="1">
        <v>3</v>
      </c>
      <c r="K40" s="1">
        <v>3</v>
      </c>
      <c r="L40" s="1">
        <v>2</v>
      </c>
      <c r="M40" s="1">
        <v>3</v>
      </c>
      <c r="N40" s="1">
        <v>3</v>
      </c>
      <c r="O40" s="1">
        <v>7</v>
      </c>
      <c r="P40" s="1">
        <v>2</v>
      </c>
      <c r="Q40" s="1">
        <v>1</v>
      </c>
      <c r="R40">
        <f t="shared" si="0"/>
        <v>3.2</v>
      </c>
      <c r="U40" s="2">
        <v>37</v>
      </c>
      <c r="V40" s="3" t="s">
        <v>37</v>
      </c>
      <c r="W40" s="1">
        <v>4</v>
      </c>
      <c r="X40" s="1">
        <v>3</v>
      </c>
      <c r="Y40" s="1">
        <v>4</v>
      </c>
      <c r="Z40" s="1">
        <v>2</v>
      </c>
      <c r="AA40" s="1">
        <v>4</v>
      </c>
      <c r="AB40" s="1">
        <v>2</v>
      </c>
      <c r="AC40" s="1">
        <v>3</v>
      </c>
      <c r="AD40" s="1">
        <v>2</v>
      </c>
      <c r="AE40" s="1">
        <v>3</v>
      </c>
      <c r="AF40" s="1">
        <v>2</v>
      </c>
      <c r="AG40" s="1">
        <v>18</v>
      </c>
      <c r="AH40" s="1">
        <v>11</v>
      </c>
      <c r="AI40" s="1">
        <v>67.5</v>
      </c>
      <c r="AJ40" s="1">
        <v>40</v>
      </c>
      <c r="AK40" s="1">
        <v>20</v>
      </c>
      <c r="AL40" s="1">
        <v>20</v>
      </c>
      <c r="AM40" s="1">
        <v>20</v>
      </c>
      <c r="AN40" s="1">
        <v>40</v>
      </c>
      <c r="AO40" s="1">
        <v>20</v>
      </c>
      <c r="AP40">
        <f t="shared" si="1"/>
        <v>26.666666666666668</v>
      </c>
    </row>
    <row r="41" spans="1:42" x14ac:dyDescent="0.35">
      <c r="A41" s="2">
        <v>38</v>
      </c>
      <c r="B41" s="3" t="s">
        <v>38</v>
      </c>
      <c r="C41" s="1">
        <v>2</v>
      </c>
      <c r="D41" s="1">
        <v>2</v>
      </c>
      <c r="E41" s="1">
        <v>3</v>
      </c>
      <c r="F41" s="1">
        <v>3</v>
      </c>
      <c r="G41" s="1">
        <v>3</v>
      </c>
      <c r="H41" s="1">
        <v>7</v>
      </c>
      <c r="I41" s="1">
        <v>2</v>
      </c>
      <c r="J41" s="1">
        <v>4</v>
      </c>
      <c r="K41" s="1">
        <v>2</v>
      </c>
      <c r="L41" s="1">
        <v>2</v>
      </c>
      <c r="M41" s="1">
        <v>3</v>
      </c>
      <c r="N41" s="1">
        <v>5</v>
      </c>
      <c r="O41" s="1">
        <v>5</v>
      </c>
      <c r="P41" s="1">
        <v>3</v>
      </c>
      <c r="Q41" s="1">
        <v>1</v>
      </c>
      <c r="R41">
        <f t="shared" si="0"/>
        <v>3.1333333333333333</v>
      </c>
      <c r="U41" s="2">
        <v>38</v>
      </c>
      <c r="V41" s="3" t="s">
        <v>38</v>
      </c>
      <c r="W41" s="1">
        <v>3</v>
      </c>
      <c r="X41" s="1">
        <v>3</v>
      </c>
      <c r="Y41" s="1">
        <v>2</v>
      </c>
      <c r="Z41" s="1">
        <v>3</v>
      </c>
      <c r="AA41" s="1">
        <v>4</v>
      </c>
      <c r="AB41" s="1">
        <v>4</v>
      </c>
      <c r="AC41" s="1">
        <v>3</v>
      </c>
      <c r="AD41" s="1">
        <v>3</v>
      </c>
      <c r="AE41" s="1">
        <v>4</v>
      </c>
      <c r="AF41" s="1">
        <v>3</v>
      </c>
      <c r="AG41" s="1">
        <v>16</v>
      </c>
      <c r="AH41" s="1">
        <v>16</v>
      </c>
      <c r="AI41" s="1">
        <v>50</v>
      </c>
      <c r="AJ41" s="1">
        <v>20</v>
      </c>
      <c r="AK41" s="1">
        <v>20</v>
      </c>
      <c r="AL41" s="1">
        <v>40</v>
      </c>
      <c r="AM41" s="1">
        <v>40</v>
      </c>
      <c r="AN41" s="1">
        <v>60</v>
      </c>
      <c r="AO41" s="1">
        <v>20</v>
      </c>
      <c r="AP41">
        <f t="shared" si="1"/>
        <v>33.333333333333336</v>
      </c>
    </row>
    <row r="42" spans="1:42" x14ac:dyDescent="0.35">
      <c r="A42" s="2">
        <v>39</v>
      </c>
      <c r="B42" s="3" t="s">
        <v>39</v>
      </c>
      <c r="C42" s="1">
        <v>1</v>
      </c>
      <c r="D42" s="1">
        <v>3</v>
      </c>
      <c r="E42" s="1">
        <v>3</v>
      </c>
      <c r="F42" s="1">
        <v>3</v>
      </c>
      <c r="G42" s="1">
        <v>4</v>
      </c>
      <c r="H42" s="1">
        <v>3</v>
      </c>
      <c r="I42" s="1">
        <v>5</v>
      </c>
      <c r="J42" s="1">
        <v>1</v>
      </c>
      <c r="K42" s="1">
        <v>2</v>
      </c>
      <c r="L42" s="1">
        <v>3</v>
      </c>
      <c r="M42" s="1">
        <v>5</v>
      </c>
      <c r="N42" s="1">
        <v>2</v>
      </c>
      <c r="O42" s="1">
        <v>4</v>
      </c>
      <c r="P42" s="1">
        <v>5</v>
      </c>
      <c r="Q42" s="1">
        <v>2</v>
      </c>
      <c r="R42">
        <f t="shared" si="0"/>
        <v>3.0666666666666669</v>
      </c>
      <c r="U42" s="2">
        <v>39</v>
      </c>
      <c r="V42" s="3" t="s">
        <v>39</v>
      </c>
      <c r="W42" s="1">
        <v>3</v>
      </c>
      <c r="X42" s="1">
        <v>1</v>
      </c>
      <c r="Y42" s="1">
        <v>3</v>
      </c>
      <c r="Z42" s="1">
        <v>1</v>
      </c>
      <c r="AA42" s="1">
        <v>3</v>
      </c>
      <c r="AB42" s="1">
        <v>4</v>
      </c>
      <c r="AC42" s="1">
        <v>1</v>
      </c>
      <c r="AD42" s="1">
        <v>3</v>
      </c>
      <c r="AE42" s="1">
        <v>4</v>
      </c>
      <c r="AF42" s="1">
        <v>2</v>
      </c>
      <c r="AG42" s="1">
        <v>14</v>
      </c>
      <c r="AH42" s="1">
        <v>11</v>
      </c>
      <c r="AI42" s="1">
        <v>57.5</v>
      </c>
      <c r="AJ42" s="1">
        <v>85</v>
      </c>
      <c r="AK42" s="1">
        <v>20</v>
      </c>
      <c r="AL42" s="1">
        <v>60</v>
      </c>
      <c r="AM42" s="1">
        <v>20</v>
      </c>
      <c r="AN42" s="1">
        <v>20</v>
      </c>
      <c r="AO42" s="1">
        <v>85</v>
      </c>
      <c r="AP42">
        <f t="shared" si="1"/>
        <v>48.333333333333336</v>
      </c>
    </row>
    <row r="43" spans="1:42" x14ac:dyDescent="0.35">
      <c r="A43" s="2">
        <v>40</v>
      </c>
      <c r="B43" s="3" t="s">
        <v>40</v>
      </c>
      <c r="C43" s="1">
        <v>5</v>
      </c>
      <c r="D43" s="1">
        <v>3</v>
      </c>
      <c r="E43" s="1">
        <v>3</v>
      </c>
      <c r="F43" s="1">
        <v>4</v>
      </c>
      <c r="G43" s="1">
        <v>4</v>
      </c>
      <c r="H43" s="1">
        <v>2</v>
      </c>
      <c r="I43" s="1">
        <v>1</v>
      </c>
      <c r="J43" s="1">
        <v>2</v>
      </c>
      <c r="K43" s="1">
        <v>3</v>
      </c>
      <c r="L43" s="1">
        <v>4</v>
      </c>
      <c r="M43" s="1">
        <v>1</v>
      </c>
      <c r="N43" s="1">
        <v>2</v>
      </c>
      <c r="O43" s="1">
        <v>5</v>
      </c>
      <c r="P43" s="1">
        <v>6</v>
      </c>
      <c r="Q43" s="1">
        <v>5</v>
      </c>
      <c r="R43">
        <f t="shared" si="0"/>
        <v>3.3333333333333335</v>
      </c>
      <c r="U43" s="2">
        <v>40</v>
      </c>
      <c r="V43" s="3" t="s">
        <v>40</v>
      </c>
      <c r="W43" s="1">
        <v>3</v>
      </c>
      <c r="X43" s="1">
        <v>4</v>
      </c>
      <c r="Y43" s="1">
        <v>3</v>
      </c>
      <c r="Z43" s="1">
        <v>3</v>
      </c>
      <c r="AA43" s="1">
        <v>4</v>
      </c>
      <c r="AB43" s="1">
        <v>3</v>
      </c>
      <c r="AC43" s="1">
        <v>4</v>
      </c>
      <c r="AD43" s="1">
        <v>3</v>
      </c>
      <c r="AE43" s="1">
        <v>2</v>
      </c>
      <c r="AF43" s="1">
        <v>4</v>
      </c>
      <c r="AG43" s="1">
        <v>16</v>
      </c>
      <c r="AH43" s="1">
        <v>17</v>
      </c>
      <c r="AI43" s="1">
        <v>47.5</v>
      </c>
      <c r="AJ43" s="1">
        <v>20</v>
      </c>
      <c r="AK43" s="1">
        <v>40</v>
      </c>
      <c r="AL43" s="1">
        <v>20</v>
      </c>
      <c r="AM43" s="1">
        <v>40</v>
      </c>
      <c r="AN43" s="1">
        <v>20</v>
      </c>
      <c r="AO43" s="1">
        <v>40</v>
      </c>
      <c r="AP43">
        <f t="shared" si="1"/>
        <v>30</v>
      </c>
    </row>
    <row r="44" spans="1:42" x14ac:dyDescent="0.35">
      <c r="A44" s="2">
        <v>41</v>
      </c>
      <c r="B44" s="3" t="s">
        <v>41</v>
      </c>
      <c r="C44" s="1">
        <v>2</v>
      </c>
      <c r="D44" s="1">
        <v>3</v>
      </c>
      <c r="E44" s="1">
        <v>2</v>
      </c>
      <c r="F44" s="1">
        <v>3</v>
      </c>
      <c r="G44" s="1">
        <v>3</v>
      </c>
      <c r="H44" s="1">
        <v>3</v>
      </c>
      <c r="I44" s="1">
        <v>1</v>
      </c>
      <c r="J44" s="1">
        <v>3</v>
      </c>
      <c r="K44" s="1">
        <v>4</v>
      </c>
      <c r="L44" s="1">
        <v>2</v>
      </c>
      <c r="M44" s="1">
        <v>1</v>
      </c>
      <c r="N44" s="1">
        <v>3</v>
      </c>
      <c r="O44" s="1">
        <v>2</v>
      </c>
      <c r="P44" s="1">
        <v>2</v>
      </c>
      <c r="Q44" s="1">
        <v>2</v>
      </c>
      <c r="R44">
        <f t="shared" si="0"/>
        <v>2.4</v>
      </c>
      <c r="U44" s="2">
        <v>41</v>
      </c>
      <c r="V44" s="3" t="s">
        <v>41</v>
      </c>
      <c r="W44" s="1">
        <v>4</v>
      </c>
      <c r="X44" s="1">
        <v>5</v>
      </c>
      <c r="Y44" s="1">
        <v>3</v>
      </c>
      <c r="Z44" s="1">
        <v>1</v>
      </c>
      <c r="AA44" s="1">
        <v>2</v>
      </c>
      <c r="AB44" s="1">
        <v>3</v>
      </c>
      <c r="AC44" s="1">
        <v>4</v>
      </c>
      <c r="AD44" s="1">
        <v>2</v>
      </c>
      <c r="AE44" s="1">
        <v>2</v>
      </c>
      <c r="AF44" s="1">
        <v>3</v>
      </c>
      <c r="AG44" s="1">
        <v>15</v>
      </c>
      <c r="AH44" s="1">
        <v>14</v>
      </c>
      <c r="AI44" s="1">
        <v>52.5</v>
      </c>
      <c r="AJ44" s="1">
        <v>40</v>
      </c>
      <c r="AK44" s="1">
        <v>20</v>
      </c>
      <c r="AL44" s="1">
        <v>40</v>
      </c>
      <c r="AM44" s="1">
        <v>85</v>
      </c>
      <c r="AN44" s="1">
        <v>40</v>
      </c>
      <c r="AO44" s="1">
        <v>5</v>
      </c>
      <c r="AP44">
        <f t="shared" si="1"/>
        <v>38.333333333333336</v>
      </c>
    </row>
    <row r="45" spans="1:42" x14ac:dyDescent="0.35">
      <c r="A45" s="2">
        <v>42</v>
      </c>
      <c r="B45" s="3" t="s">
        <v>42</v>
      </c>
      <c r="C45" s="1">
        <v>2</v>
      </c>
      <c r="D45" s="1">
        <v>2</v>
      </c>
      <c r="E45" s="1">
        <v>2</v>
      </c>
      <c r="F45" s="1">
        <v>5</v>
      </c>
      <c r="G45" s="1">
        <v>3</v>
      </c>
      <c r="H45" s="1">
        <v>5</v>
      </c>
      <c r="I45" s="1">
        <v>4</v>
      </c>
      <c r="J45" s="1">
        <v>3</v>
      </c>
      <c r="K45" s="1">
        <v>2</v>
      </c>
      <c r="L45" s="1">
        <v>2</v>
      </c>
      <c r="M45" s="1">
        <v>2</v>
      </c>
      <c r="N45" s="1">
        <v>3</v>
      </c>
      <c r="O45" s="1">
        <v>1</v>
      </c>
      <c r="P45" s="1">
        <v>6</v>
      </c>
      <c r="Q45" s="1">
        <v>2</v>
      </c>
      <c r="R45">
        <f t="shared" si="0"/>
        <v>2.9333333333333331</v>
      </c>
      <c r="U45" s="2">
        <v>42</v>
      </c>
      <c r="V45" s="3" t="s">
        <v>42</v>
      </c>
      <c r="W45" s="1">
        <v>2</v>
      </c>
      <c r="X45" s="1">
        <v>3</v>
      </c>
      <c r="Y45" s="1">
        <v>2</v>
      </c>
      <c r="Z45" s="1">
        <v>3</v>
      </c>
      <c r="AA45" s="1">
        <v>2</v>
      </c>
      <c r="AB45" s="1">
        <v>3</v>
      </c>
      <c r="AC45" s="1">
        <v>2</v>
      </c>
      <c r="AD45" s="1">
        <v>3</v>
      </c>
      <c r="AE45" s="1">
        <v>2</v>
      </c>
      <c r="AF45" s="1">
        <v>4</v>
      </c>
      <c r="AG45" s="1">
        <v>10</v>
      </c>
      <c r="AH45" s="1">
        <v>16</v>
      </c>
      <c r="AI45" s="1">
        <v>35</v>
      </c>
      <c r="AJ45" s="1">
        <v>20</v>
      </c>
      <c r="AK45" s="1">
        <v>40</v>
      </c>
      <c r="AL45" s="1">
        <v>20</v>
      </c>
      <c r="AM45" s="1">
        <v>40</v>
      </c>
      <c r="AN45" s="1">
        <v>40</v>
      </c>
      <c r="AO45" s="1">
        <v>60</v>
      </c>
      <c r="AP45">
        <f t="shared" si="1"/>
        <v>36.666666666666664</v>
      </c>
    </row>
    <row r="46" spans="1:42" x14ac:dyDescent="0.35">
      <c r="A46" s="2">
        <v>43</v>
      </c>
      <c r="B46" s="3" t="s">
        <v>43</v>
      </c>
      <c r="C46" s="1">
        <v>1</v>
      </c>
      <c r="D46" s="1">
        <v>2</v>
      </c>
      <c r="E46" s="1">
        <v>3</v>
      </c>
      <c r="F46" s="1">
        <v>3</v>
      </c>
      <c r="G46" s="1">
        <v>3</v>
      </c>
      <c r="H46" s="1">
        <v>6</v>
      </c>
      <c r="I46" s="1">
        <v>2</v>
      </c>
      <c r="J46" s="1">
        <v>5</v>
      </c>
      <c r="K46" s="1">
        <v>2</v>
      </c>
      <c r="L46" s="1">
        <v>3</v>
      </c>
      <c r="M46" s="1">
        <v>5</v>
      </c>
      <c r="N46" s="1">
        <v>4</v>
      </c>
      <c r="O46" s="1">
        <v>5</v>
      </c>
      <c r="P46" s="1">
        <v>5</v>
      </c>
      <c r="Q46" s="1">
        <v>3</v>
      </c>
      <c r="R46">
        <f t="shared" si="0"/>
        <v>3.4666666666666668</v>
      </c>
      <c r="U46" s="2">
        <v>43</v>
      </c>
      <c r="V46" s="3" t="s">
        <v>43</v>
      </c>
      <c r="W46" s="1">
        <v>1</v>
      </c>
      <c r="X46" s="1">
        <v>2</v>
      </c>
      <c r="Y46" s="1">
        <v>1</v>
      </c>
      <c r="Z46" s="1">
        <v>5</v>
      </c>
      <c r="AA46" s="1">
        <v>2</v>
      </c>
      <c r="AB46" s="1">
        <v>3</v>
      </c>
      <c r="AC46" s="1">
        <v>2</v>
      </c>
      <c r="AD46" s="1">
        <v>4</v>
      </c>
      <c r="AE46" s="1">
        <v>3</v>
      </c>
      <c r="AF46" s="1">
        <v>1</v>
      </c>
      <c r="AG46" s="1">
        <v>9</v>
      </c>
      <c r="AH46" s="1">
        <v>15</v>
      </c>
      <c r="AI46" s="1">
        <v>35</v>
      </c>
      <c r="AJ46" s="1">
        <v>40</v>
      </c>
      <c r="AK46" s="1">
        <v>20</v>
      </c>
      <c r="AL46" s="1">
        <v>5</v>
      </c>
      <c r="AM46" s="1">
        <v>60</v>
      </c>
      <c r="AN46" s="1">
        <v>40</v>
      </c>
      <c r="AO46" s="6">
        <v>5</v>
      </c>
      <c r="AP46">
        <f t="shared" si="1"/>
        <v>28.333333333333332</v>
      </c>
    </row>
    <row r="47" spans="1:42" x14ac:dyDescent="0.35">
      <c r="A47" s="2">
        <v>44</v>
      </c>
      <c r="B47" s="3" t="s">
        <v>71</v>
      </c>
      <c r="C47" s="1">
        <v>3</v>
      </c>
      <c r="D47" s="1">
        <v>3</v>
      </c>
      <c r="E47" s="1">
        <v>4</v>
      </c>
      <c r="F47" s="1">
        <v>4</v>
      </c>
      <c r="G47" s="1">
        <v>5</v>
      </c>
      <c r="H47" s="1">
        <v>4</v>
      </c>
      <c r="I47" s="1">
        <v>4</v>
      </c>
      <c r="J47" s="1">
        <v>4</v>
      </c>
      <c r="K47" s="1">
        <v>3</v>
      </c>
      <c r="L47" s="1">
        <v>4</v>
      </c>
      <c r="M47" s="1">
        <v>2</v>
      </c>
      <c r="N47" s="1">
        <v>3</v>
      </c>
      <c r="O47" s="1">
        <v>2</v>
      </c>
      <c r="P47" s="1">
        <v>6</v>
      </c>
      <c r="Q47" s="1">
        <v>3</v>
      </c>
      <c r="R47">
        <f t="shared" si="0"/>
        <v>3.6</v>
      </c>
      <c r="U47" s="20">
        <v>44</v>
      </c>
      <c r="V47" s="21" t="s">
        <v>71</v>
      </c>
      <c r="W47" s="22">
        <v>2</v>
      </c>
      <c r="X47" s="22">
        <v>3</v>
      </c>
      <c r="Y47" s="22">
        <v>4</v>
      </c>
      <c r="Z47" s="22">
        <v>3</v>
      </c>
      <c r="AA47" s="22">
        <v>2</v>
      </c>
      <c r="AB47" s="22">
        <v>3</v>
      </c>
      <c r="AC47" s="22">
        <v>2</v>
      </c>
      <c r="AD47" s="22">
        <v>3</v>
      </c>
      <c r="AE47" s="22">
        <v>1</v>
      </c>
      <c r="AF47" s="22">
        <v>3</v>
      </c>
      <c r="AG47" s="22">
        <v>11</v>
      </c>
      <c r="AH47" s="22">
        <v>15</v>
      </c>
      <c r="AI47" s="22">
        <v>40</v>
      </c>
      <c r="AJ47" s="22">
        <v>40</v>
      </c>
      <c r="AK47" s="22">
        <v>20</v>
      </c>
      <c r="AL47" s="22">
        <v>5</v>
      </c>
      <c r="AM47" s="22">
        <v>60</v>
      </c>
      <c r="AN47" s="22">
        <v>20</v>
      </c>
      <c r="AO47" s="22">
        <v>40</v>
      </c>
      <c r="AP47">
        <f t="shared" si="1"/>
        <v>30.833333333333332</v>
      </c>
    </row>
    <row r="48" spans="1:42" x14ac:dyDescent="0.35">
      <c r="A48" s="31" t="s">
        <v>103</v>
      </c>
      <c r="B48" s="33"/>
      <c r="C48" s="1">
        <f t="shared" ref="C48:Q48" si="2">AVERAGE(C4:C47)</f>
        <v>2.8863636363636362</v>
      </c>
      <c r="D48" s="1">
        <f t="shared" si="2"/>
        <v>2.9772727272727271</v>
      </c>
      <c r="E48" s="1">
        <f t="shared" si="2"/>
        <v>2.8863636363636362</v>
      </c>
      <c r="F48" s="1">
        <f t="shared" si="2"/>
        <v>3.8863636363636362</v>
      </c>
      <c r="G48" s="1">
        <f t="shared" si="2"/>
        <v>3.5</v>
      </c>
      <c r="H48" s="1">
        <f t="shared" si="2"/>
        <v>3.7954545454545454</v>
      </c>
      <c r="I48" s="1">
        <f t="shared" si="2"/>
        <v>3.2272727272727271</v>
      </c>
      <c r="J48" s="1">
        <f t="shared" si="2"/>
        <v>2.8636363636363638</v>
      </c>
      <c r="K48" s="1">
        <f t="shared" si="2"/>
        <v>3.5454545454545454</v>
      </c>
      <c r="L48" s="1">
        <f t="shared" si="2"/>
        <v>2.9772727272727271</v>
      </c>
      <c r="M48" s="1">
        <f t="shared" si="2"/>
        <v>3.1363636363636362</v>
      </c>
      <c r="N48" s="1">
        <f t="shared" si="2"/>
        <v>3.2954545454545454</v>
      </c>
      <c r="O48" s="1">
        <f t="shared" si="2"/>
        <v>3.9772727272727271</v>
      </c>
      <c r="P48" s="1">
        <f t="shared" si="2"/>
        <v>3.5454545454545454</v>
      </c>
      <c r="Q48" s="1">
        <f t="shared" si="2"/>
        <v>3.0909090909090908</v>
      </c>
      <c r="U48" s="31" t="s">
        <v>127</v>
      </c>
      <c r="V48" s="33"/>
      <c r="W48" s="1">
        <f t="shared" ref="W48:AP48" si="3">AVERAGE(W4:W47)</f>
        <v>2.2954545454545454</v>
      </c>
      <c r="X48" s="1">
        <f t="shared" si="3"/>
        <v>2.5</v>
      </c>
      <c r="Y48" s="1">
        <f t="shared" si="3"/>
        <v>2.2954545454545454</v>
      </c>
      <c r="Z48" s="1">
        <f t="shared" si="3"/>
        <v>2.4545454545454546</v>
      </c>
      <c r="AA48" s="1">
        <f t="shared" si="3"/>
        <v>2.3181818181818183</v>
      </c>
      <c r="AB48" s="1">
        <f t="shared" si="3"/>
        <v>2.75</v>
      </c>
      <c r="AC48" s="1">
        <f t="shared" si="3"/>
        <v>2.7272727272727271</v>
      </c>
      <c r="AD48" s="1">
        <f t="shared" si="3"/>
        <v>2.7727272727272729</v>
      </c>
      <c r="AE48" s="1">
        <f t="shared" si="3"/>
        <v>3</v>
      </c>
      <c r="AF48" s="1">
        <f t="shared" si="3"/>
        <v>3.2272727272727271</v>
      </c>
      <c r="AG48" s="1">
        <f t="shared" si="3"/>
        <v>12.636363636363637</v>
      </c>
      <c r="AH48" s="1">
        <f t="shared" si="3"/>
        <v>13.704545454545455</v>
      </c>
      <c r="AI48" s="1">
        <f t="shared" si="3"/>
        <v>47.329545454545453</v>
      </c>
      <c r="AJ48" s="1">
        <f t="shared" si="3"/>
        <v>22.727272727272727</v>
      </c>
      <c r="AK48" s="1">
        <f t="shared" si="3"/>
        <v>25.568181818181817</v>
      </c>
      <c r="AL48" s="1">
        <f t="shared" si="3"/>
        <v>24.772727272727273</v>
      </c>
      <c r="AM48" s="1">
        <f t="shared" si="3"/>
        <v>37.272727272727273</v>
      </c>
      <c r="AN48" s="1">
        <f t="shared" si="3"/>
        <v>36.590909090909093</v>
      </c>
      <c r="AO48" s="1">
        <f t="shared" si="3"/>
        <v>38.409090909090907</v>
      </c>
      <c r="AP48" s="1">
        <f t="shared" si="3"/>
        <v>30.890151515151512</v>
      </c>
    </row>
    <row r="49" spans="1:42" x14ac:dyDescent="0.35">
      <c r="A49" s="31" t="s">
        <v>126</v>
      </c>
      <c r="B49" s="33"/>
      <c r="C49" s="1">
        <f t="shared" ref="C49:Q49" si="4">STDEV(C4:C47)</f>
        <v>1.2240973720751764</v>
      </c>
      <c r="D49" s="1">
        <f t="shared" si="4"/>
        <v>0.82090807245692721</v>
      </c>
      <c r="E49" s="1">
        <f t="shared" si="4"/>
        <v>1.1042393802430217</v>
      </c>
      <c r="F49" s="1">
        <f t="shared" si="4"/>
        <v>1.4661436379219557</v>
      </c>
      <c r="G49" s="1">
        <f t="shared" si="4"/>
        <v>1.4706429538383605</v>
      </c>
      <c r="H49" s="1">
        <f t="shared" si="4"/>
        <v>1.5786297481064915</v>
      </c>
      <c r="I49" s="1">
        <f t="shared" si="4"/>
        <v>1.5075567228888183</v>
      </c>
      <c r="J49" s="1">
        <f t="shared" si="4"/>
        <v>1.4238975187011225</v>
      </c>
      <c r="K49" s="1">
        <f t="shared" si="4"/>
        <v>1.0219576620399269</v>
      </c>
      <c r="L49" s="1">
        <f t="shared" si="4"/>
        <v>0.82090807245692721</v>
      </c>
      <c r="M49" s="1">
        <f t="shared" si="4"/>
        <v>1.2312011357964503</v>
      </c>
      <c r="N49" s="1">
        <f t="shared" si="4"/>
        <v>1.2309864725334128</v>
      </c>
      <c r="O49" s="1">
        <f t="shared" si="4"/>
        <v>1.4704632455278177</v>
      </c>
      <c r="P49" s="1">
        <f t="shared" si="4"/>
        <v>1.3885670287150964</v>
      </c>
      <c r="Q49" s="1">
        <f t="shared" si="4"/>
        <v>1.2725762519883574</v>
      </c>
      <c r="U49" s="31" t="s">
        <v>128</v>
      </c>
      <c r="V49" s="33"/>
      <c r="W49" s="1">
        <f t="shared" ref="W49:AP49" si="5">STDEV(W4:W47)</f>
        <v>1.3395512170134123</v>
      </c>
      <c r="X49" s="1">
        <f t="shared" si="5"/>
        <v>1.1102063499795358</v>
      </c>
      <c r="Y49" s="1">
        <f t="shared" si="5"/>
        <v>1.1325941709303338</v>
      </c>
      <c r="Z49" s="1">
        <f t="shared" si="5"/>
        <v>1.1092537918033103</v>
      </c>
      <c r="AA49" s="1">
        <f t="shared" si="5"/>
        <v>0.95898995490840344</v>
      </c>
      <c r="AB49" s="1">
        <f t="shared" si="5"/>
        <v>1.0810201899885084</v>
      </c>
      <c r="AC49" s="1">
        <f t="shared" si="5"/>
        <v>0.94901751800030498</v>
      </c>
      <c r="AD49" s="1">
        <f t="shared" si="5"/>
        <v>1.0312249740700998</v>
      </c>
      <c r="AE49" s="1">
        <f t="shared" si="5"/>
        <v>1.1206310514564426</v>
      </c>
      <c r="AF49" s="1">
        <f t="shared" si="5"/>
        <v>1.1981310322338254</v>
      </c>
      <c r="AG49" s="1">
        <f t="shared" si="5"/>
        <v>2.5798044733094398</v>
      </c>
      <c r="AH49" s="1">
        <f t="shared" si="5"/>
        <v>2.4071554712984566</v>
      </c>
      <c r="AI49" s="1">
        <f t="shared" si="5"/>
        <v>8.8000681695418379</v>
      </c>
      <c r="AJ49" s="1">
        <f t="shared" si="5"/>
        <v>19.333503437807231</v>
      </c>
      <c r="AK49" s="1">
        <f t="shared" si="5"/>
        <v>14.754420271483687</v>
      </c>
      <c r="AL49" s="1">
        <f t="shared" si="5"/>
        <v>19.378558801577984</v>
      </c>
      <c r="AM49" s="1">
        <f t="shared" si="5"/>
        <v>21.926265057363292</v>
      </c>
      <c r="AN49" s="1">
        <f t="shared" si="5"/>
        <v>15.803029120611406</v>
      </c>
      <c r="AO49" s="1">
        <f t="shared" si="5"/>
        <v>23.693113690767539</v>
      </c>
      <c r="AP49" s="1">
        <f t="shared" si="5"/>
        <v>9.9277065889380705</v>
      </c>
    </row>
    <row r="53" spans="1:42" x14ac:dyDescent="0.35">
      <c r="A53" s="5"/>
    </row>
    <row r="55" spans="1:42" x14ac:dyDescent="0.35">
      <c r="C55" s="48" t="s">
        <v>73</v>
      </c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</row>
    <row r="56" spans="1:42" x14ac:dyDescent="0.35">
      <c r="C56" s="2" t="s">
        <v>45</v>
      </c>
      <c r="D56" s="2" t="s">
        <v>46</v>
      </c>
      <c r="E56" s="2" t="s">
        <v>47</v>
      </c>
      <c r="F56" s="2" t="s">
        <v>48</v>
      </c>
      <c r="G56" s="2" t="s">
        <v>49</v>
      </c>
      <c r="H56" s="2" t="s">
        <v>50</v>
      </c>
      <c r="I56" s="2" t="s">
        <v>51</v>
      </c>
      <c r="J56" s="2" t="s">
        <v>52</v>
      </c>
      <c r="K56" s="2" t="s">
        <v>53</v>
      </c>
      <c r="L56" s="2" t="s">
        <v>54</v>
      </c>
      <c r="M56" s="2" t="s">
        <v>55</v>
      </c>
      <c r="N56" s="2" t="s">
        <v>56</v>
      </c>
      <c r="O56" s="2" t="s">
        <v>57</v>
      </c>
      <c r="P56" s="2" t="s">
        <v>58</v>
      </c>
      <c r="Q56" s="2" t="s">
        <v>59</v>
      </c>
    </row>
    <row r="57" spans="1:42" x14ac:dyDescent="0.35">
      <c r="C57" s="1" t="s">
        <v>67</v>
      </c>
      <c r="D57" s="1" t="s">
        <v>62</v>
      </c>
      <c r="E57" s="1" t="s">
        <v>62</v>
      </c>
      <c r="F57" s="1" t="s">
        <v>65</v>
      </c>
      <c r="G57" s="1" t="s">
        <v>69</v>
      </c>
      <c r="H57" s="1" t="s">
        <v>64</v>
      </c>
      <c r="I57" s="1" t="s">
        <v>70</v>
      </c>
      <c r="J57" s="1" t="s">
        <v>62</v>
      </c>
      <c r="K57" s="1" t="s">
        <v>62</v>
      </c>
      <c r="L57" s="1" t="s">
        <v>65</v>
      </c>
      <c r="M57" s="1" t="s">
        <v>63</v>
      </c>
      <c r="N57" s="1" t="s">
        <v>70</v>
      </c>
      <c r="O57" s="1" t="s">
        <v>70</v>
      </c>
      <c r="P57" s="1" t="s">
        <v>64</v>
      </c>
      <c r="Q57" s="1" t="s">
        <v>64</v>
      </c>
    </row>
    <row r="58" spans="1:42" x14ac:dyDescent="0.35">
      <c r="A58" s="2" t="s">
        <v>44</v>
      </c>
      <c r="B58" s="2" t="s">
        <v>0</v>
      </c>
      <c r="C58" s="50" t="s">
        <v>72</v>
      </c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</row>
    <row r="59" spans="1:42" x14ac:dyDescent="0.35">
      <c r="A59" s="1"/>
      <c r="B59" s="1"/>
      <c r="C59" s="2" t="s">
        <v>45</v>
      </c>
      <c r="D59" s="2" t="s">
        <v>46</v>
      </c>
      <c r="E59" s="2" t="s">
        <v>47</v>
      </c>
      <c r="F59" s="2" t="s">
        <v>48</v>
      </c>
      <c r="G59" s="2" t="s">
        <v>49</v>
      </c>
      <c r="H59" s="2" t="s">
        <v>50</v>
      </c>
      <c r="I59" s="2" t="s">
        <v>51</v>
      </c>
      <c r="J59" s="2" t="s">
        <v>52</v>
      </c>
      <c r="K59" s="2" t="s">
        <v>53</v>
      </c>
      <c r="L59" s="2" t="s">
        <v>54</v>
      </c>
      <c r="M59" s="2" t="s">
        <v>55</v>
      </c>
      <c r="N59" s="2" t="s">
        <v>56</v>
      </c>
      <c r="O59" s="2" t="s">
        <v>57</v>
      </c>
      <c r="P59" s="2" t="s">
        <v>58</v>
      </c>
      <c r="Q59" s="2" t="s">
        <v>59</v>
      </c>
      <c r="R59" s="13" t="s">
        <v>110</v>
      </c>
    </row>
    <row r="60" spans="1:42" x14ac:dyDescent="0.35">
      <c r="A60" s="1"/>
      <c r="B60" s="1"/>
      <c r="C60" s="43" t="s">
        <v>77</v>
      </c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</row>
    <row r="61" spans="1:42" x14ac:dyDescent="0.35">
      <c r="A61" s="2">
        <v>1</v>
      </c>
      <c r="B61" s="3" t="s">
        <v>1</v>
      </c>
      <c r="C61" s="1">
        <v>0</v>
      </c>
      <c r="D61" s="1">
        <v>1</v>
      </c>
      <c r="E61" s="1">
        <v>1</v>
      </c>
      <c r="F61" s="1">
        <v>1</v>
      </c>
      <c r="G61" s="1">
        <v>1</v>
      </c>
      <c r="H61" s="1">
        <v>1</v>
      </c>
      <c r="I61" s="1">
        <v>1</v>
      </c>
      <c r="J61" s="1">
        <v>0</v>
      </c>
      <c r="K61" s="1">
        <v>1</v>
      </c>
      <c r="L61" s="1">
        <v>1</v>
      </c>
      <c r="M61" s="1">
        <v>1</v>
      </c>
      <c r="N61" s="1">
        <v>1</v>
      </c>
      <c r="O61" s="1">
        <v>1</v>
      </c>
      <c r="P61" s="1">
        <v>1</v>
      </c>
      <c r="Q61" s="1">
        <v>1</v>
      </c>
      <c r="R61">
        <f t="shared" ref="R61:R104" si="6">AVERAGE(C61:Q61)*100</f>
        <v>86.666666666666671</v>
      </c>
    </row>
    <row r="62" spans="1:42" x14ac:dyDescent="0.35">
      <c r="A62" s="2">
        <v>2</v>
      </c>
      <c r="B62" s="3" t="s">
        <v>2</v>
      </c>
      <c r="C62" s="1">
        <v>1</v>
      </c>
      <c r="D62" s="1">
        <v>1</v>
      </c>
      <c r="E62" s="1">
        <v>1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  <c r="L62" s="1">
        <v>1</v>
      </c>
      <c r="M62" s="1">
        <v>1</v>
      </c>
      <c r="N62" s="1">
        <v>1</v>
      </c>
      <c r="O62" s="1">
        <v>1</v>
      </c>
      <c r="P62" s="1">
        <v>1</v>
      </c>
      <c r="Q62" s="1">
        <v>1</v>
      </c>
      <c r="R62">
        <f t="shared" si="6"/>
        <v>100</v>
      </c>
    </row>
    <row r="63" spans="1:42" x14ac:dyDescent="0.35">
      <c r="A63" s="2">
        <v>3</v>
      </c>
      <c r="B63" s="3" t="s">
        <v>3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  <c r="M63" s="1">
        <v>1</v>
      </c>
      <c r="N63" s="1">
        <v>1</v>
      </c>
      <c r="O63" s="1">
        <v>1</v>
      </c>
      <c r="P63" s="1">
        <v>1</v>
      </c>
      <c r="Q63" s="1">
        <v>1</v>
      </c>
      <c r="R63">
        <f t="shared" si="6"/>
        <v>100</v>
      </c>
    </row>
    <row r="64" spans="1:42" x14ac:dyDescent="0.35">
      <c r="A64" s="2">
        <v>4</v>
      </c>
      <c r="B64" s="3" t="s">
        <v>4</v>
      </c>
      <c r="C64" s="1">
        <v>0</v>
      </c>
      <c r="D64" s="1">
        <v>1</v>
      </c>
      <c r="E64" s="1">
        <v>1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  <c r="K64" s="1">
        <v>1</v>
      </c>
      <c r="L64" s="1">
        <v>0</v>
      </c>
      <c r="M64" s="1">
        <v>1</v>
      </c>
      <c r="N64" s="1">
        <v>1</v>
      </c>
      <c r="O64" s="1">
        <v>1</v>
      </c>
      <c r="P64" s="1">
        <v>1</v>
      </c>
      <c r="Q64" s="1">
        <v>1</v>
      </c>
      <c r="R64">
        <f t="shared" si="6"/>
        <v>86.666666666666671</v>
      </c>
    </row>
    <row r="65" spans="1:18" x14ac:dyDescent="0.35">
      <c r="A65" s="2">
        <v>5</v>
      </c>
      <c r="B65" s="3" t="s">
        <v>5</v>
      </c>
      <c r="C65" s="1">
        <v>1</v>
      </c>
      <c r="D65" s="1">
        <v>0</v>
      </c>
      <c r="E65" s="1">
        <v>1</v>
      </c>
      <c r="F65" s="1">
        <v>1</v>
      </c>
      <c r="G65" s="1">
        <v>1</v>
      </c>
      <c r="H65" s="1">
        <v>1</v>
      </c>
      <c r="I65" s="1">
        <v>1</v>
      </c>
      <c r="J65" s="1">
        <v>0</v>
      </c>
      <c r="K65" s="1">
        <v>1</v>
      </c>
      <c r="L65" s="1">
        <v>1</v>
      </c>
      <c r="M65" s="1">
        <v>1</v>
      </c>
      <c r="N65" s="1">
        <v>1</v>
      </c>
      <c r="O65" s="1">
        <v>1</v>
      </c>
      <c r="P65" s="1">
        <v>1</v>
      </c>
      <c r="Q65" s="1">
        <v>1</v>
      </c>
      <c r="R65">
        <f t="shared" si="6"/>
        <v>86.666666666666671</v>
      </c>
    </row>
    <row r="66" spans="1:18" x14ac:dyDescent="0.35">
      <c r="A66" s="2">
        <v>6</v>
      </c>
      <c r="B66" s="3" t="s">
        <v>6</v>
      </c>
      <c r="C66" s="1">
        <v>1</v>
      </c>
      <c r="D66" s="1">
        <v>1</v>
      </c>
      <c r="E66" s="1">
        <v>1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  <c r="M66" s="1">
        <v>1</v>
      </c>
      <c r="N66" s="1">
        <v>1</v>
      </c>
      <c r="O66" s="1">
        <v>1</v>
      </c>
      <c r="P66" s="1">
        <v>1</v>
      </c>
      <c r="Q66" s="1">
        <v>1</v>
      </c>
      <c r="R66">
        <f t="shared" si="6"/>
        <v>100</v>
      </c>
    </row>
    <row r="67" spans="1:18" x14ac:dyDescent="0.35">
      <c r="A67" s="2">
        <v>7</v>
      </c>
      <c r="B67" s="3" t="s">
        <v>7</v>
      </c>
      <c r="C67" s="1">
        <v>1</v>
      </c>
      <c r="D67" s="1">
        <v>1</v>
      </c>
      <c r="E67" s="1">
        <v>1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  <c r="K67" s="1">
        <v>1</v>
      </c>
      <c r="L67" s="1">
        <v>1</v>
      </c>
      <c r="M67" s="1">
        <v>1</v>
      </c>
      <c r="N67" s="1">
        <v>1</v>
      </c>
      <c r="O67" s="1">
        <v>1</v>
      </c>
      <c r="P67" s="1">
        <v>1</v>
      </c>
      <c r="Q67" s="1">
        <v>1</v>
      </c>
      <c r="R67">
        <f t="shared" si="6"/>
        <v>100</v>
      </c>
    </row>
    <row r="68" spans="1:18" x14ac:dyDescent="0.35">
      <c r="A68" s="2">
        <v>8</v>
      </c>
      <c r="B68" s="3" t="s">
        <v>8</v>
      </c>
      <c r="C68" s="1">
        <v>0</v>
      </c>
      <c r="D68" s="1">
        <v>0</v>
      </c>
      <c r="E68" s="1">
        <v>1</v>
      </c>
      <c r="F68" s="1">
        <v>1</v>
      </c>
      <c r="G68" s="1">
        <v>0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  <c r="M68" s="1">
        <v>0</v>
      </c>
      <c r="N68" s="1">
        <v>1</v>
      </c>
      <c r="O68" s="1">
        <v>1</v>
      </c>
      <c r="P68" s="1">
        <v>1</v>
      </c>
      <c r="Q68" s="1">
        <v>1</v>
      </c>
      <c r="R68">
        <f t="shared" si="6"/>
        <v>73.333333333333329</v>
      </c>
    </row>
    <row r="69" spans="1:18" x14ac:dyDescent="0.35">
      <c r="A69" s="2">
        <v>9</v>
      </c>
      <c r="B69" s="3" t="s">
        <v>9</v>
      </c>
      <c r="C69" s="1">
        <v>1</v>
      </c>
      <c r="D69" s="1">
        <v>1</v>
      </c>
      <c r="E69" s="1">
        <v>1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  <c r="L69" s="1">
        <v>0</v>
      </c>
      <c r="M69" s="1">
        <v>1</v>
      </c>
      <c r="N69" s="1">
        <v>1</v>
      </c>
      <c r="O69" s="1">
        <v>1</v>
      </c>
      <c r="P69" s="1">
        <v>1</v>
      </c>
      <c r="Q69" s="1">
        <v>1</v>
      </c>
      <c r="R69">
        <f t="shared" si="6"/>
        <v>93.333333333333329</v>
      </c>
    </row>
    <row r="70" spans="1:18" x14ac:dyDescent="0.35">
      <c r="A70" s="2">
        <v>10</v>
      </c>
      <c r="B70" s="3" t="s">
        <v>10</v>
      </c>
      <c r="C70" s="1">
        <v>1</v>
      </c>
      <c r="D70" s="1">
        <v>1</v>
      </c>
      <c r="E70" s="1">
        <v>0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1</v>
      </c>
      <c r="N70" s="1">
        <v>1</v>
      </c>
      <c r="O70" s="1">
        <v>1</v>
      </c>
      <c r="P70" s="1">
        <v>1</v>
      </c>
      <c r="Q70" s="1">
        <v>0</v>
      </c>
      <c r="R70">
        <f t="shared" si="6"/>
        <v>86.666666666666671</v>
      </c>
    </row>
    <row r="71" spans="1:18" x14ac:dyDescent="0.35">
      <c r="A71" s="2">
        <v>11</v>
      </c>
      <c r="B71" s="3" t="s">
        <v>11</v>
      </c>
      <c r="C71" s="1">
        <v>1</v>
      </c>
      <c r="D71" s="1">
        <v>1</v>
      </c>
      <c r="E71" s="1">
        <v>1</v>
      </c>
      <c r="F71" s="1">
        <v>1</v>
      </c>
      <c r="G71" s="1">
        <v>0</v>
      </c>
      <c r="H71" s="1">
        <v>1</v>
      </c>
      <c r="I71" s="1">
        <v>1</v>
      </c>
      <c r="J71" s="1">
        <v>1</v>
      </c>
      <c r="K71" s="1">
        <v>1</v>
      </c>
      <c r="L71" s="1">
        <v>1</v>
      </c>
      <c r="M71" s="1">
        <v>1</v>
      </c>
      <c r="N71" s="1">
        <v>1</v>
      </c>
      <c r="O71" s="1">
        <v>1</v>
      </c>
      <c r="P71" s="1">
        <v>1</v>
      </c>
      <c r="Q71" s="1">
        <v>1</v>
      </c>
      <c r="R71">
        <f t="shared" si="6"/>
        <v>93.333333333333329</v>
      </c>
    </row>
    <row r="72" spans="1:18" x14ac:dyDescent="0.35">
      <c r="A72" s="2">
        <v>12</v>
      </c>
      <c r="B72" s="3" t="s">
        <v>12</v>
      </c>
      <c r="C72" s="1">
        <v>0</v>
      </c>
      <c r="D72" s="1">
        <v>1</v>
      </c>
      <c r="E72" s="1">
        <v>1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1</v>
      </c>
      <c r="N72" s="1">
        <v>1</v>
      </c>
      <c r="O72" s="1">
        <v>1</v>
      </c>
      <c r="P72" s="1">
        <v>1</v>
      </c>
      <c r="Q72" s="1">
        <v>1</v>
      </c>
      <c r="R72">
        <f t="shared" si="6"/>
        <v>93.333333333333329</v>
      </c>
    </row>
    <row r="73" spans="1:18" x14ac:dyDescent="0.35">
      <c r="A73" s="2">
        <v>13</v>
      </c>
      <c r="B73" s="3" t="s">
        <v>13</v>
      </c>
      <c r="C73" s="1">
        <v>1</v>
      </c>
      <c r="D73" s="1">
        <v>0</v>
      </c>
      <c r="E73" s="1">
        <v>0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  <c r="M73" s="1">
        <v>1</v>
      </c>
      <c r="N73" s="1">
        <v>1</v>
      </c>
      <c r="O73" s="1">
        <v>1</v>
      </c>
      <c r="P73" s="1">
        <v>0</v>
      </c>
      <c r="Q73" s="1">
        <v>1</v>
      </c>
      <c r="R73">
        <f t="shared" si="6"/>
        <v>80</v>
      </c>
    </row>
    <row r="74" spans="1:18" x14ac:dyDescent="0.35">
      <c r="A74" s="2">
        <v>14</v>
      </c>
      <c r="B74" s="3" t="s">
        <v>14</v>
      </c>
      <c r="C74" s="1">
        <v>1</v>
      </c>
      <c r="D74" s="1">
        <v>1</v>
      </c>
      <c r="E74" s="1">
        <v>1</v>
      </c>
      <c r="F74" s="1">
        <v>0</v>
      </c>
      <c r="G74" s="1">
        <v>1</v>
      </c>
      <c r="H74" s="1">
        <v>1</v>
      </c>
      <c r="I74" s="1">
        <v>1</v>
      </c>
      <c r="J74" s="1">
        <v>1</v>
      </c>
      <c r="K74" s="1">
        <v>0</v>
      </c>
      <c r="L74" s="1">
        <v>1</v>
      </c>
      <c r="M74" s="1">
        <v>0</v>
      </c>
      <c r="N74" s="1">
        <v>1</v>
      </c>
      <c r="O74" s="1">
        <v>1</v>
      </c>
      <c r="P74" s="1">
        <v>1</v>
      </c>
      <c r="Q74" s="1">
        <v>1</v>
      </c>
      <c r="R74">
        <f t="shared" si="6"/>
        <v>80</v>
      </c>
    </row>
    <row r="75" spans="1:18" x14ac:dyDescent="0.35">
      <c r="A75" s="2">
        <v>15</v>
      </c>
      <c r="B75" s="3" t="s">
        <v>15</v>
      </c>
      <c r="C75" s="1">
        <v>1</v>
      </c>
      <c r="D75" s="1">
        <v>1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  <c r="M75" s="1">
        <v>1</v>
      </c>
      <c r="N75" s="1">
        <v>1</v>
      </c>
      <c r="O75" s="1">
        <v>1</v>
      </c>
      <c r="P75" s="1">
        <v>1</v>
      </c>
      <c r="Q75" s="1">
        <v>1</v>
      </c>
      <c r="R75">
        <f t="shared" si="6"/>
        <v>100</v>
      </c>
    </row>
    <row r="76" spans="1:18" x14ac:dyDescent="0.35">
      <c r="A76" s="2">
        <v>16</v>
      </c>
      <c r="B76" s="3" t="s">
        <v>16</v>
      </c>
      <c r="C76" s="1">
        <v>0</v>
      </c>
      <c r="D76" s="1">
        <v>1</v>
      </c>
      <c r="E76" s="1">
        <v>1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0</v>
      </c>
      <c r="M76" s="1">
        <v>1</v>
      </c>
      <c r="N76" s="1">
        <v>1</v>
      </c>
      <c r="O76" s="1">
        <v>1</v>
      </c>
      <c r="P76" s="1">
        <v>1</v>
      </c>
      <c r="Q76" s="1">
        <v>1</v>
      </c>
      <c r="R76">
        <f t="shared" si="6"/>
        <v>86.666666666666671</v>
      </c>
    </row>
    <row r="77" spans="1:18" x14ac:dyDescent="0.35">
      <c r="A77" s="2">
        <v>17</v>
      </c>
      <c r="B77" s="3" t="s">
        <v>17</v>
      </c>
      <c r="C77" s="1">
        <v>1</v>
      </c>
      <c r="D77" s="1">
        <v>1</v>
      </c>
      <c r="E77" s="1">
        <v>0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1</v>
      </c>
      <c r="N77" s="1">
        <v>1</v>
      </c>
      <c r="O77" s="1">
        <v>1</v>
      </c>
      <c r="P77" s="1">
        <v>1</v>
      </c>
      <c r="Q77" s="1">
        <v>1</v>
      </c>
      <c r="R77">
        <f t="shared" si="6"/>
        <v>93.333333333333329</v>
      </c>
    </row>
    <row r="78" spans="1:18" x14ac:dyDescent="0.35">
      <c r="A78" s="2">
        <v>18</v>
      </c>
      <c r="B78" s="3" t="s">
        <v>18</v>
      </c>
      <c r="C78" s="1">
        <v>1</v>
      </c>
      <c r="D78" s="1">
        <v>1</v>
      </c>
      <c r="E78" s="1">
        <v>1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  <c r="L78" s="1">
        <v>1</v>
      </c>
      <c r="M78" s="1">
        <v>1</v>
      </c>
      <c r="N78" s="1">
        <v>1</v>
      </c>
      <c r="O78" s="1">
        <v>1</v>
      </c>
      <c r="P78" s="1">
        <v>1</v>
      </c>
      <c r="Q78" s="1">
        <v>1</v>
      </c>
      <c r="R78">
        <f t="shared" si="6"/>
        <v>100</v>
      </c>
    </row>
    <row r="79" spans="1:18" x14ac:dyDescent="0.35">
      <c r="A79" s="2">
        <v>19</v>
      </c>
      <c r="B79" s="3" t="s">
        <v>19</v>
      </c>
      <c r="C79" s="1">
        <v>1</v>
      </c>
      <c r="D79" s="1">
        <v>0</v>
      </c>
      <c r="E79" s="1">
        <v>1</v>
      </c>
      <c r="F79" s="1">
        <v>0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  <c r="L79" s="1">
        <v>1</v>
      </c>
      <c r="M79" s="1">
        <v>0</v>
      </c>
      <c r="N79" s="1">
        <v>1</v>
      </c>
      <c r="O79" s="1">
        <v>1</v>
      </c>
      <c r="P79" s="1">
        <v>1</v>
      </c>
      <c r="Q79" s="1">
        <v>1</v>
      </c>
      <c r="R79">
        <f t="shared" si="6"/>
        <v>80</v>
      </c>
    </row>
    <row r="80" spans="1:18" x14ac:dyDescent="0.35">
      <c r="A80" s="2">
        <v>20</v>
      </c>
      <c r="B80" s="3" t="s">
        <v>20</v>
      </c>
      <c r="C80" s="1">
        <v>1</v>
      </c>
      <c r="D80" s="1">
        <v>1</v>
      </c>
      <c r="E80" s="1">
        <v>1</v>
      </c>
      <c r="F80" s="1">
        <v>1</v>
      </c>
      <c r="G80" s="1">
        <v>1</v>
      </c>
      <c r="H80" s="1">
        <v>0</v>
      </c>
      <c r="I80" s="1">
        <v>1</v>
      </c>
      <c r="J80" s="1">
        <v>1</v>
      </c>
      <c r="K80" s="1">
        <v>1</v>
      </c>
      <c r="L80" s="1">
        <v>1</v>
      </c>
      <c r="M80" s="1">
        <v>1</v>
      </c>
      <c r="N80" s="1">
        <v>1</v>
      </c>
      <c r="O80" s="1">
        <v>1</v>
      </c>
      <c r="P80" s="1">
        <v>1</v>
      </c>
      <c r="Q80" s="1">
        <v>1</v>
      </c>
      <c r="R80">
        <f t="shared" si="6"/>
        <v>93.333333333333329</v>
      </c>
    </row>
    <row r="81" spans="1:18" x14ac:dyDescent="0.35">
      <c r="A81" s="2">
        <v>21</v>
      </c>
      <c r="B81" s="3" t="s">
        <v>21</v>
      </c>
      <c r="C81" s="1">
        <v>0</v>
      </c>
      <c r="D81" s="1">
        <v>1</v>
      </c>
      <c r="E81" s="1">
        <v>1</v>
      </c>
      <c r="F81" s="1">
        <v>1</v>
      </c>
      <c r="G81" s="1">
        <v>1</v>
      </c>
      <c r="H81" s="1">
        <v>1</v>
      </c>
      <c r="I81" s="1">
        <v>1</v>
      </c>
      <c r="J81" s="1">
        <v>1</v>
      </c>
      <c r="K81" s="1">
        <v>1</v>
      </c>
      <c r="L81" s="1">
        <v>1</v>
      </c>
      <c r="M81" s="1">
        <v>1</v>
      </c>
      <c r="N81" s="1">
        <v>1</v>
      </c>
      <c r="O81" s="1">
        <v>1</v>
      </c>
      <c r="P81" s="1">
        <v>1</v>
      </c>
      <c r="Q81" s="1">
        <v>0</v>
      </c>
      <c r="R81">
        <f t="shared" si="6"/>
        <v>86.666666666666671</v>
      </c>
    </row>
    <row r="82" spans="1:18" x14ac:dyDescent="0.35">
      <c r="A82" s="2">
        <v>22</v>
      </c>
      <c r="B82" s="3" t="s">
        <v>22</v>
      </c>
      <c r="C82" s="1">
        <v>1</v>
      </c>
      <c r="D82" s="1">
        <v>1</v>
      </c>
      <c r="E82" s="1">
        <v>0</v>
      </c>
      <c r="F82" s="1">
        <v>1</v>
      </c>
      <c r="G82" s="1">
        <v>0</v>
      </c>
      <c r="H82" s="1">
        <v>1</v>
      </c>
      <c r="I82" s="1">
        <v>1</v>
      </c>
      <c r="J82" s="1">
        <v>1</v>
      </c>
      <c r="K82" s="1">
        <v>1</v>
      </c>
      <c r="L82" s="1">
        <v>0</v>
      </c>
      <c r="M82" s="1">
        <v>1</v>
      </c>
      <c r="N82" s="1">
        <v>1</v>
      </c>
      <c r="O82" s="1">
        <v>1</v>
      </c>
      <c r="P82" s="1">
        <v>1</v>
      </c>
      <c r="Q82" s="1">
        <v>1</v>
      </c>
      <c r="R82">
        <f t="shared" si="6"/>
        <v>80</v>
      </c>
    </row>
    <row r="83" spans="1:18" x14ac:dyDescent="0.35">
      <c r="A83" s="2">
        <v>23</v>
      </c>
      <c r="B83" s="3" t="s">
        <v>23</v>
      </c>
      <c r="C83" s="1">
        <v>1</v>
      </c>
      <c r="D83" s="1">
        <v>1</v>
      </c>
      <c r="E83" s="1">
        <v>1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  <c r="K83" s="1">
        <v>0</v>
      </c>
      <c r="L83" s="1">
        <v>1</v>
      </c>
      <c r="M83" s="1">
        <v>1</v>
      </c>
      <c r="N83" s="1">
        <v>1</v>
      </c>
      <c r="O83" s="1">
        <v>1</v>
      </c>
      <c r="P83" s="1">
        <v>1</v>
      </c>
      <c r="Q83" s="1">
        <v>1</v>
      </c>
      <c r="R83">
        <f t="shared" si="6"/>
        <v>93.333333333333329</v>
      </c>
    </row>
    <row r="84" spans="1:18" x14ac:dyDescent="0.35">
      <c r="A84" s="2">
        <v>24</v>
      </c>
      <c r="B84" s="3" t="s">
        <v>24</v>
      </c>
      <c r="C84" s="1">
        <v>1</v>
      </c>
      <c r="D84" s="1">
        <v>1</v>
      </c>
      <c r="E84" s="1">
        <v>1</v>
      </c>
      <c r="F84" s="1">
        <v>0</v>
      </c>
      <c r="G84" s="1">
        <v>1</v>
      </c>
      <c r="H84" s="1">
        <v>1</v>
      </c>
      <c r="I84" s="1">
        <v>1</v>
      </c>
      <c r="J84" s="1">
        <v>0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>
        <f t="shared" si="6"/>
        <v>86.666666666666671</v>
      </c>
    </row>
    <row r="85" spans="1:18" x14ac:dyDescent="0.35">
      <c r="A85" s="2">
        <v>25</v>
      </c>
      <c r="B85" s="3" t="s">
        <v>25</v>
      </c>
      <c r="C85" s="1">
        <v>1</v>
      </c>
      <c r="D85" s="1">
        <v>1</v>
      </c>
      <c r="E85" s="1">
        <v>1</v>
      </c>
      <c r="F85" s="1">
        <v>1</v>
      </c>
      <c r="G85" s="1">
        <v>1</v>
      </c>
      <c r="H85" s="1">
        <v>1</v>
      </c>
      <c r="I85" s="1">
        <v>1</v>
      </c>
      <c r="J85" s="1">
        <v>1</v>
      </c>
      <c r="K85" s="1">
        <v>1</v>
      </c>
      <c r="L85" s="1">
        <v>1</v>
      </c>
      <c r="M85" s="1">
        <v>0</v>
      </c>
      <c r="N85" s="1">
        <v>1</v>
      </c>
      <c r="O85" s="1">
        <v>1</v>
      </c>
      <c r="P85" s="1">
        <v>1</v>
      </c>
      <c r="Q85" s="1">
        <v>1</v>
      </c>
      <c r="R85">
        <f t="shared" si="6"/>
        <v>93.333333333333329</v>
      </c>
    </row>
    <row r="86" spans="1:18" x14ac:dyDescent="0.35">
      <c r="A86" s="2">
        <v>26</v>
      </c>
      <c r="B86" s="3" t="s">
        <v>26</v>
      </c>
      <c r="C86" s="1">
        <v>0</v>
      </c>
      <c r="D86" s="1">
        <v>1</v>
      </c>
      <c r="E86" s="1">
        <v>1</v>
      </c>
      <c r="F86" s="1">
        <v>1</v>
      </c>
      <c r="G86" s="1">
        <v>1</v>
      </c>
      <c r="H86" s="1">
        <v>1</v>
      </c>
      <c r="I86" s="1">
        <v>1</v>
      </c>
      <c r="J86" s="1">
        <v>1</v>
      </c>
      <c r="K86" s="1">
        <v>1</v>
      </c>
      <c r="L86" s="1">
        <v>1</v>
      </c>
      <c r="M86" s="1">
        <v>1</v>
      </c>
      <c r="N86" s="1">
        <v>1</v>
      </c>
      <c r="O86" s="1">
        <v>1</v>
      </c>
      <c r="P86" s="1">
        <v>1</v>
      </c>
      <c r="Q86" s="1">
        <v>1</v>
      </c>
      <c r="R86">
        <f t="shared" si="6"/>
        <v>93.333333333333329</v>
      </c>
    </row>
    <row r="87" spans="1:18" x14ac:dyDescent="0.35">
      <c r="A87" s="2">
        <v>27</v>
      </c>
      <c r="B87" s="3" t="s">
        <v>27</v>
      </c>
      <c r="C87" s="1">
        <v>1</v>
      </c>
      <c r="D87" s="1">
        <v>1</v>
      </c>
      <c r="E87" s="1">
        <v>1</v>
      </c>
      <c r="F87" s="1">
        <v>0</v>
      </c>
      <c r="G87" s="1">
        <v>1</v>
      </c>
      <c r="H87" s="1">
        <v>1</v>
      </c>
      <c r="I87" s="1">
        <v>1</v>
      </c>
      <c r="J87" s="1">
        <v>1</v>
      </c>
      <c r="K87" s="1">
        <v>1</v>
      </c>
      <c r="L87" s="1">
        <v>1</v>
      </c>
      <c r="M87" s="1">
        <v>1</v>
      </c>
      <c r="N87" s="1">
        <v>1</v>
      </c>
      <c r="O87" s="1">
        <v>1</v>
      </c>
      <c r="P87" s="1">
        <v>1</v>
      </c>
      <c r="Q87" s="1">
        <v>1</v>
      </c>
      <c r="R87">
        <f t="shared" si="6"/>
        <v>93.333333333333329</v>
      </c>
    </row>
    <row r="88" spans="1:18" x14ac:dyDescent="0.35">
      <c r="A88" s="2">
        <v>28</v>
      </c>
      <c r="B88" s="3" t="s">
        <v>28</v>
      </c>
      <c r="C88" s="1">
        <v>1</v>
      </c>
      <c r="D88" s="1">
        <v>1</v>
      </c>
      <c r="E88" s="1">
        <v>1</v>
      </c>
      <c r="F88" s="1">
        <v>1</v>
      </c>
      <c r="G88" s="1">
        <v>1</v>
      </c>
      <c r="H88" s="1">
        <v>0</v>
      </c>
      <c r="I88" s="1">
        <v>1</v>
      </c>
      <c r="J88" s="4">
        <v>1</v>
      </c>
      <c r="K88" s="1">
        <v>1</v>
      </c>
      <c r="L88" s="1">
        <v>1</v>
      </c>
      <c r="M88" s="1">
        <v>1</v>
      </c>
      <c r="N88" s="1">
        <v>1</v>
      </c>
      <c r="O88" s="1">
        <v>1</v>
      </c>
      <c r="P88" s="1">
        <v>0</v>
      </c>
      <c r="Q88" s="1">
        <v>1</v>
      </c>
      <c r="R88">
        <f t="shared" si="6"/>
        <v>86.666666666666671</v>
      </c>
    </row>
    <row r="89" spans="1:18" x14ac:dyDescent="0.35">
      <c r="A89" s="2">
        <v>29</v>
      </c>
      <c r="B89" s="3" t="s">
        <v>29</v>
      </c>
      <c r="C89" s="1">
        <v>1</v>
      </c>
      <c r="D89" s="1">
        <v>1</v>
      </c>
      <c r="E89" s="1">
        <v>1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  <c r="K89" s="1">
        <v>1</v>
      </c>
      <c r="L89" s="1">
        <v>1</v>
      </c>
      <c r="M89" s="1">
        <v>1</v>
      </c>
      <c r="N89" s="1">
        <v>1</v>
      </c>
      <c r="O89" s="1">
        <v>1</v>
      </c>
      <c r="P89" s="1">
        <v>1</v>
      </c>
      <c r="Q89" s="1">
        <v>1</v>
      </c>
      <c r="R89">
        <f t="shared" si="6"/>
        <v>100</v>
      </c>
    </row>
    <row r="90" spans="1:18" x14ac:dyDescent="0.35">
      <c r="A90" s="2">
        <v>30</v>
      </c>
      <c r="B90" s="3" t="s">
        <v>30</v>
      </c>
      <c r="C90" s="1">
        <v>0</v>
      </c>
      <c r="D90" s="1">
        <v>1</v>
      </c>
      <c r="E90" s="1">
        <v>1</v>
      </c>
      <c r="F90" s="1">
        <v>1</v>
      </c>
      <c r="G90" s="1">
        <v>1</v>
      </c>
      <c r="H90" s="1">
        <v>1</v>
      </c>
      <c r="I90" s="1">
        <v>1</v>
      </c>
      <c r="J90" s="1">
        <v>0</v>
      </c>
      <c r="K90" s="1">
        <v>1</v>
      </c>
      <c r="L90" s="1">
        <v>1</v>
      </c>
      <c r="M90" s="1">
        <v>1</v>
      </c>
      <c r="N90" s="1">
        <v>1</v>
      </c>
      <c r="O90" s="1">
        <v>1</v>
      </c>
      <c r="P90" s="1">
        <v>1</v>
      </c>
      <c r="Q90" s="1">
        <v>1</v>
      </c>
      <c r="R90">
        <f t="shared" si="6"/>
        <v>86.666666666666671</v>
      </c>
    </row>
    <row r="91" spans="1:18" x14ac:dyDescent="0.35">
      <c r="A91" s="2">
        <v>31</v>
      </c>
      <c r="B91" s="3" t="s">
        <v>31</v>
      </c>
      <c r="C91" s="1">
        <v>1</v>
      </c>
      <c r="D91" s="1">
        <v>1</v>
      </c>
      <c r="E91" s="1">
        <v>1</v>
      </c>
      <c r="F91" s="1">
        <v>0</v>
      </c>
      <c r="G91" s="1">
        <v>1</v>
      </c>
      <c r="H91" s="1">
        <v>1</v>
      </c>
      <c r="I91" s="1">
        <v>1</v>
      </c>
      <c r="J91" s="1">
        <v>1</v>
      </c>
      <c r="K91" s="1">
        <v>1</v>
      </c>
      <c r="L91" s="1">
        <v>0</v>
      </c>
      <c r="M91" s="1">
        <v>1</v>
      </c>
      <c r="N91" s="1">
        <v>1</v>
      </c>
      <c r="O91" s="1">
        <v>1</v>
      </c>
      <c r="P91" s="1">
        <v>1</v>
      </c>
      <c r="Q91" s="1">
        <v>1</v>
      </c>
      <c r="R91">
        <f t="shared" si="6"/>
        <v>86.666666666666671</v>
      </c>
    </row>
    <row r="92" spans="1:18" x14ac:dyDescent="0.35">
      <c r="A92" s="2">
        <v>32</v>
      </c>
      <c r="B92" s="3" t="s">
        <v>32</v>
      </c>
      <c r="C92" s="1">
        <v>1</v>
      </c>
      <c r="D92" s="1">
        <v>1</v>
      </c>
      <c r="E92" s="1">
        <v>1</v>
      </c>
      <c r="F92" s="1">
        <v>1</v>
      </c>
      <c r="G92" s="1">
        <v>1</v>
      </c>
      <c r="H92" s="1">
        <v>1</v>
      </c>
      <c r="I92" s="1">
        <v>1</v>
      </c>
      <c r="J92" s="1">
        <v>1</v>
      </c>
      <c r="K92" s="1">
        <v>0</v>
      </c>
      <c r="L92" s="1">
        <v>1</v>
      </c>
      <c r="M92" s="1">
        <v>1</v>
      </c>
      <c r="N92" s="1">
        <v>1</v>
      </c>
      <c r="O92" s="1">
        <v>1</v>
      </c>
      <c r="P92" s="1">
        <v>1</v>
      </c>
      <c r="Q92" s="1">
        <v>1</v>
      </c>
      <c r="R92">
        <f t="shared" si="6"/>
        <v>93.333333333333329</v>
      </c>
    </row>
    <row r="93" spans="1:18" x14ac:dyDescent="0.35">
      <c r="A93" s="2">
        <v>33</v>
      </c>
      <c r="B93" s="3" t="s">
        <v>33</v>
      </c>
      <c r="C93" s="1">
        <v>1</v>
      </c>
      <c r="D93" s="1">
        <v>1</v>
      </c>
      <c r="E93" s="1">
        <v>1</v>
      </c>
      <c r="F93" s="1">
        <v>1</v>
      </c>
      <c r="G93" s="1">
        <v>1</v>
      </c>
      <c r="H93" s="1">
        <v>1</v>
      </c>
      <c r="I93" s="1">
        <v>1</v>
      </c>
      <c r="J93" s="1">
        <v>1</v>
      </c>
      <c r="K93" s="1">
        <v>1</v>
      </c>
      <c r="L93" s="1">
        <v>1</v>
      </c>
      <c r="M93" s="1">
        <v>1</v>
      </c>
      <c r="N93" s="1">
        <v>1</v>
      </c>
      <c r="O93" s="1">
        <v>1</v>
      </c>
      <c r="P93" s="1">
        <v>1</v>
      </c>
      <c r="Q93" s="1">
        <v>1</v>
      </c>
      <c r="R93">
        <f t="shared" si="6"/>
        <v>100</v>
      </c>
    </row>
    <row r="94" spans="1:18" x14ac:dyDescent="0.35">
      <c r="A94" s="2">
        <v>34</v>
      </c>
      <c r="B94" s="3" t="s">
        <v>34</v>
      </c>
      <c r="C94" s="1">
        <v>1</v>
      </c>
      <c r="D94" s="1">
        <v>1</v>
      </c>
      <c r="E94" s="1">
        <v>1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  <c r="K94" s="1">
        <v>1</v>
      </c>
      <c r="L94" s="1">
        <v>1</v>
      </c>
      <c r="M94" s="1">
        <v>0</v>
      </c>
      <c r="N94" s="1">
        <v>1</v>
      </c>
      <c r="O94" s="1">
        <v>1</v>
      </c>
      <c r="P94" s="1">
        <v>1</v>
      </c>
      <c r="Q94" s="1">
        <v>1</v>
      </c>
      <c r="R94">
        <f t="shared" si="6"/>
        <v>93.333333333333329</v>
      </c>
    </row>
    <row r="95" spans="1:18" x14ac:dyDescent="0.35">
      <c r="A95" s="2">
        <v>35</v>
      </c>
      <c r="B95" s="3" t="s">
        <v>35</v>
      </c>
      <c r="C95" s="1">
        <v>1</v>
      </c>
      <c r="D95" s="1">
        <v>1</v>
      </c>
      <c r="E95" s="1">
        <v>1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  <c r="K95" s="1">
        <v>1</v>
      </c>
      <c r="L95" s="1">
        <v>1</v>
      </c>
      <c r="M95" s="1">
        <v>1</v>
      </c>
      <c r="N95" s="1">
        <v>1</v>
      </c>
      <c r="O95" s="1">
        <v>1</v>
      </c>
      <c r="P95" s="1">
        <v>1</v>
      </c>
      <c r="Q95" s="1">
        <v>1</v>
      </c>
      <c r="R95">
        <f t="shared" si="6"/>
        <v>100</v>
      </c>
    </row>
    <row r="96" spans="1:18" x14ac:dyDescent="0.35">
      <c r="A96" s="2">
        <v>36</v>
      </c>
      <c r="B96" s="3" t="s">
        <v>36</v>
      </c>
      <c r="C96" s="1">
        <v>1</v>
      </c>
      <c r="D96" s="1">
        <v>1</v>
      </c>
      <c r="E96" s="1">
        <v>1</v>
      </c>
      <c r="F96" s="1">
        <v>1</v>
      </c>
      <c r="G96" s="1">
        <v>1</v>
      </c>
      <c r="H96" s="1">
        <v>1</v>
      </c>
      <c r="I96" s="1">
        <v>1</v>
      </c>
      <c r="J96" s="1">
        <v>1</v>
      </c>
      <c r="K96" s="1">
        <v>1</v>
      </c>
      <c r="L96" s="1">
        <v>1</v>
      </c>
      <c r="M96" s="1">
        <v>1</v>
      </c>
      <c r="N96" s="1">
        <v>1</v>
      </c>
      <c r="O96" s="1">
        <v>1</v>
      </c>
      <c r="P96" s="1">
        <v>1</v>
      </c>
      <c r="Q96" s="1">
        <v>1</v>
      </c>
      <c r="R96">
        <f t="shared" si="6"/>
        <v>100</v>
      </c>
    </row>
    <row r="97" spans="1:18" x14ac:dyDescent="0.35">
      <c r="A97" s="2">
        <v>37</v>
      </c>
      <c r="B97" s="3" t="s">
        <v>37</v>
      </c>
      <c r="C97" s="1">
        <v>1</v>
      </c>
      <c r="D97" s="1">
        <v>1</v>
      </c>
      <c r="E97" s="1">
        <v>1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  <c r="K97" s="1">
        <v>1</v>
      </c>
      <c r="L97" s="1">
        <v>1</v>
      </c>
      <c r="M97" s="1">
        <v>1</v>
      </c>
      <c r="N97" s="1">
        <v>1</v>
      </c>
      <c r="O97" s="1">
        <v>1</v>
      </c>
      <c r="P97" s="1">
        <v>1</v>
      </c>
      <c r="Q97" s="1">
        <v>1</v>
      </c>
      <c r="R97">
        <f t="shared" si="6"/>
        <v>100</v>
      </c>
    </row>
    <row r="98" spans="1:18" x14ac:dyDescent="0.35">
      <c r="A98" s="2">
        <v>38</v>
      </c>
      <c r="B98" s="3" t="s">
        <v>38</v>
      </c>
      <c r="C98" s="1">
        <v>0</v>
      </c>
      <c r="D98" s="1">
        <v>1</v>
      </c>
      <c r="E98" s="1">
        <v>1</v>
      </c>
      <c r="F98" s="1">
        <v>1</v>
      </c>
      <c r="G98" s="1">
        <v>1</v>
      </c>
      <c r="H98" s="1">
        <v>1</v>
      </c>
      <c r="I98" s="1">
        <v>1</v>
      </c>
      <c r="J98" s="1">
        <v>1</v>
      </c>
      <c r="K98" s="1">
        <v>1</v>
      </c>
      <c r="L98" s="1">
        <v>1</v>
      </c>
      <c r="M98" s="1">
        <v>1</v>
      </c>
      <c r="N98" s="1">
        <v>1</v>
      </c>
      <c r="O98" s="1">
        <v>1</v>
      </c>
      <c r="P98" s="1">
        <v>1</v>
      </c>
      <c r="Q98" s="1">
        <v>1</v>
      </c>
      <c r="R98">
        <f t="shared" si="6"/>
        <v>93.333333333333329</v>
      </c>
    </row>
    <row r="99" spans="1:18" x14ac:dyDescent="0.35">
      <c r="A99" s="2">
        <v>39</v>
      </c>
      <c r="B99" s="3" t="s">
        <v>39</v>
      </c>
      <c r="C99" s="1">
        <v>1</v>
      </c>
      <c r="D99" s="1">
        <v>1</v>
      </c>
      <c r="E99" s="1">
        <v>1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  <c r="M99" s="1">
        <v>1</v>
      </c>
      <c r="N99" s="1">
        <v>1</v>
      </c>
      <c r="O99" s="1">
        <v>1</v>
      </c>
      <c r="P99" s="1">
        <v>1</v>
      </c>
      <c r="Q99" s="1">
        <v>1</v>
      </c>
      <c r="R99">
        <f t="shared" si="6"/>
        <v>100</v>
      </c>
    </row>
    <row r="100" spans="1:18" x14ac:dyDescent="0.35">
      <c r="A100" s="2">
        <v>40</v>
      </c>
      <c r="B100" s="3" t="s">
        <v>40</v>
      </c>
      <c r="C100" s="1">
        <v>1</v>
      </c>
      <c r="D100" s="1">
        <v>1</v>
      </c>
      <c r="E100" s="1">
        <v>1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>
        <v>1</v>
      </c>
      <c r="Q100" s="1">
        <v>1</v>
      </c>
      <c r="R100">
        <f t="shared" si="6"/>
        <v>100</v>
      </c>
    </row>
    <row r="101" spans="1:18" x14ac:dyDescent="0.35">
      <c r="A101" s="2">
        <v>41</v>
      </c>
      <c r="B101" s="3" t="s">
        <v>41</v>
      </c>
      <c r="C101" s="1">
        <v>1</v>
      </c>
      <c r="D101" s="1">
        <v>1</v>
      </c>
      <c r="E101" s="1">
        <v>1</v>
      </c>
      <c r="F101" s="1">
        <v>1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  <c r="L101" s="1">
        <v>1</v>
      </c>
      <c r="M101" s="1">
        <v>0</v>
      </c>
      <c r="N101" s="1">
        <v>1</v>
      </c>
      <c r="O101" s="1">
        <v>1</v>
      </c>
      <c r="P101" s="1">
        <v>1</v>
      </c>
      <c r="Q101" s="1">
        <v>1</v>
      </c>
      <c r="R101">
        <f t="shared" si="6"/>
        <v>93.333333333333329</v>
      </c>
    </row>
    <row r="102" spans="1:18" x14ac:dyDescent="0.35">
      <c r="A102" s="2">
        <v>42</v>
      </c>
      <c r="B102" s="3" t="s">
        <v>42</v>
      </c>
      <c r="C102" s="1">
        <v>1</v>
      </c>
      <c r="D102" s="1">
        <v>1</v>
      </c>
      <c r="E102" s="1">
        <v>1</v>
      </c>
      <c r="F102" s="1">
        <v>1</v>
      </c>
      <c r="G102" s="1">
        <v>1</v>
      </c>
      <c r="H102" s="1">
        <v>1</v>
      </c>
      <c r="I102" s="1">
        <v>1</v>
      </c>
      <c r="J102" s="1">
        <v>1</v>
      </c>
      <c r="K102" s="1">
        <v>1</v>
      </c>
      <c r="L102" s="1">
        <v>1</v>
      </c>
      <c r="M102" s="1">
        <v>1</v>
      </c>
      <c r="N102" s="1">
        <v>1</v>
      </c>
      <c r="O102" s="1">
        <v>1</v>
      </c>
      <c r="P102" s="1">
        <v>1</v>
      </c>
      <c r="Q102" s="1">
        <v>1</v>
      </c>
      <c r="R102">
        <f t="shared" si="6"/>
        <v>100</v>
      </c>
    </row>
    <row r="103" spans="1:18" x14ac:dyDescent="0.35">
      <c r="A103" s="2">
        <v>43</v>
      </c>
      <c r="B103" s="3" t="s">
        <v>43</v>
      </c>
      <c r="C103" s="1">
        <v>1</v>
      </c>
      <c r="D103" s="1">
        <v>1</v>
      </c>
      <c r="E103" s="1">
        <v>1</v>
      </c>
      <c r="F103" s="1">
        <v>1</v>
      </c>
      <c r="G103" s="1">
        <v>1</v>
      </c>
      <c r="H103" s="1">
        <v>1</v>
      </c>
      <c r="I103" s="1">
        <v>1</v>
      </c>
      <c r="J103" s="1">
        <v>1</v>
      </c>
      <c r="K103" s="1">
        <v>0</v>
      </c>
      <c r="L103" s="1">
        <v>1</v>
      </c>
      <c r="M103" s="1">
        <v>1</v>
      </c>
      <c r="N103" s="1">
        <v>1</v>
      </c>
      <c r="O103" s="1">
        <v>1</v>
      </c>
      <c r="P103" s="1">
        <v>1</v>
      </c>
      <c r="Q103" s="1">
        <v>1</v>
      </c>
      <c r="R103">
        <f t="shared" si="6"/>
        <v>93.333333333333329</v>
      </c>
    </row>
    <row r="104" spans="1:18" x14ac:dyDescent="0.35">
      <c r="A104" s="20">
        <v>44</v>
      </c>
      <c r="B104" s="21" t="s">
        <v>71</v>
      </c>
      <c r="C104" s="22">
        <v>1</v>
      </c>
      <c r="D104" s="22">
        <v>1</v>
      </c>
      <c r="E104" s="22">
        <v>1</v>
      </c>
      <c r="F104" s="22">
        <v>1</v>
      </c>
      <c r="G104" s="22">
        <v>1</v>
      </c>
      <c r="H104" s="22">
        <v>1</v>
      </c>
      <c r="I104" s="22">
        <v>1</v>
      </c>
      <c r="J104" s="22">
        <v>1</v>
      </c>
      <c r="K104" s="22">
        <v>1</v>
      </c>
      <c r="L104" s="22">
        <v>1</v>
      </c>
      <c r="M104" s="22">
        <v>0</v>
      </c>
      <c r="N104" s="22">
        <v>1</v>
      </c>
      <c r="O104" s="22">
        <v>1</v>
      </c>
      <c r="P104" s="22">
        <v>1</v>
      </c>
      <c r="Q104" s="22">
        <v>1</v>
      </c>
      <c r="R104">
        <f t="shared" si="6"/>
        <v>93.333333333333329</v>
      </c>
    </row>
    <row r="105" spans="1:18" x14ac:dyDescent="0.35">
      <c r="A105" s="31" t="s">
        <v>119</v>
      </c>
      <c r="B105" s="33"/>
      <c r="C105" s="1">
        <f t="shared" ref="C105:Q105" si="7">AVERAGE(C61:C104)</f>
        <v>0.79545454545454541</v>
      </c>
      <c r="D105" s="1">
        <f t="shared" si="7"/>
        <v>0.90909090909090906</v>
      </c>
      <c r="E105" s="1">
        <f t="shared" si="7"/>
        <v>0.90909090909090906</v>
      </c>
      <c r="F105" s="1">
        <f t="shared" si="7"/>
        <v>0.88636363636363635</v>
      </c>
      <c r="G105" s="1">
        <f t="shared" si="7"/>
        <v>0.93181818181818177</v>
      </c>
      <c r="H105" s="1">
        <f t="shared" si="7"/>
        <v>0.95454545454545459</v>
      </c>
      <c r="I105" s="1">
        <f t="shared" si="7"/>
        <v>1</v>
      </c>
      <c r="J105" s="1">
        <f t="shared" si="7"/>
        <v>0.90909090909090906</v>
      </c>
      <c r="K105" s="1">
        <f t="shared" si="7"/>
        <v>0.90909090909090906</v>
      </c>
      <c r="L105" s="1">
        <f t="shared" si="7"/>
        <v>0.88636363636363635</v>
      </c>
      <c r="M105" s="1">
        <f t="shared" si="7"/>
        <v>0.84090909090909094</v>
      </c>
      <c r="N105" s="1">
        <f t="shared" si="7"/>
        <v>1</v>
      </c>
      <c r="O105" s="1">
        <f t="shared" si="7"/>
        <v>1</v>
      </c>
      <c r="P105" s="1">
        <f t="shared" si="7"/>
        <v>0.95454545454545459</v>
      </c>
      <c r="Q105" s="1">
        <f t="shared" si="7"/>
        <v>0.95454545454545459</v>
      </c>
      <c r="R105" s="1"/>
    </row>
    <row r="106" spans="1:18" x14ac:dyDescent="0.35">
      <c r="A106" s="31" t="s">
        <v>126</v>
      </c>
      <c r="B106" s="33"/>
      <c r="C106" s="1">
        <f t="shared" ref="C106:Q106" si="8">STDEV(C61:C104)</f>
        <v>0.40803245735839222</v>
      </c>
      <c r="D106" s="1">
        <f t="shared" si="8"/>
        <v>0.29080336345115249</v>
      </c>
      <c r="E106" s="1">
        <f t="shared" si="8"/>
        <v>0.29080336345115249</v>
      </c>
      <c r="F106" s="1">
        <f t="shared" si="8"/>
        <v>0.32103822064055038</v>
      </c>
      <c r="G106" s="1">
        <f t="shared" si="8"/>
        <v>0.25497170592935275</v>
      </c>
      <c r="H106" s="1">
        <f t="shared" si="8"/>
        <v>0.21070705494148531</v>
      </c>
      <c r="I106" s="1">
        <f t="shared" si="8"/>
        <v>0</v>
      </c>
      <c r="J106" s="1">
        <f t="shared" si="8"/>
        <v>0.29080336345115249</v>
      </c>
      <c r="K106" s="1">
        <f t="shared" si="8"/>
        <v>0.29080336345115249</v>
      </c>
      <c r="L106" s="1">
        <f t="shared" si="8"/>
        <v>0.32103822064055038</v>
      </c>
      <c r="M106" s="1">
        <f t="shared" si="8"/>
        <v>0.36998942902446824</v>
      </c>
      <c r="N106" s="1">
        <f t="shared" si="8"/>
        <v>0</v>
      </c>
      <c r="O106" s="1">
        <f t="shared" si="8"/>
        <v>0</v>
      </c>
      <c r="P106" s="1">
        <f t="shared" si="8"/>
        <v>0.21070705494148531</v>
      </c>
      <c r="Q106" s="1">
        <f t="shared" si="8"/>
        <v>0.21070705494148531</v>
      </c>
      <c r="R106" s="1"/>
    </row>
  </sheetData>
  <mergeCells count="12">
    <mergeCell ref="U48:V48"/>
    <mergeCell ref="U49:V49"/>
    <mergeCell ref="C60:Q60"/>
    <mergeCell ref="U2:AO3"/>
    <mergeCell ref="C3:Q3"/>
    <mergeCell ref="C55:Q55"/>
    <mergeCell ref="C58:Q58"/>
    <mergeCell ref="A105:B105"/>
    <mergeCell ref="A106:B106"/>
    <mergeCell ref="A48:B48"/>
    <mergeCell ref="A49:B49"/>
    <mergeCell ref="A1:Q1"/>
  </mergeCells>
  <hyperlinks>
    <hyperlink ref="B4" r:id="rId1" xr:uid="{00000000-0004-0000-0000-000000000000}"/>
    <hyperlink ref="B5" r:id="rId2" xr:uid="{00000000-0004-0000-0000-000001000000}"/>
    <hyperlink ref="B6" r:id="rId3" xr:uid="{00000000-0004-0000-0000-000002000000}"/>
    <hyperlink ref="B7" r:id="rId4" xr:uid="{00000000-0004-0000-0000-000003000000}"/>
    <hyperlink ref="B8" r:id="rId5" xr:uid="{00000000-0004-0000-0000-000004000000}"/>
    <hyperlink ref="B9" r:id="rId6" xr:uid="{00000000-0004-0000-0000-000005000000}"/>
    <hyperlink ref="B10" r:id="rId7" xr:uid="{00000000-0004-0000-0000-000006000000}"/>
    <hyperlink ref="B11" r:id="rId8" xr:uid="{00000000-0004-0000-0000-000007000000}"/>
    <hyperlink ref="B12" r:id="rId9" xr:uid="{00000000-0004-0000-0000-000008000000}"/>
    <hyperlink ref="B13" r:id="rId10" xr:uid="{00000000-0004-0000-0000-000009000000}"/>
    <hyperlink ref="B14" r:id="rId11" xr:uid="{00000000-0004-0000-0000-00000A000000}"/>
    <hyperlink ref="B15" r:id="rId12" xr:uid="{00000000-0004-0000-0000-00000B000000}"/>
    <hyperlink ref="B16" r:id="rId13" xr:uid="{00000000-0004-0000-0000-00000C000000}"/>
    <hyperlink ref="B17" r:id="rId14" xr:uid="{00000000-0004-0000-0000-00000D000000}"/>
    <hyperlink ref="B18" r:id="rId15" xr:uid="{00000000-0004-0000-0000-00000E000000}"/>
    <hyperlink ref="B19" r:id="rId16" xr:uid="{00000000-0004-0000-0000-00000F000000}"/>
    <hyperlink ref="B20" r:id="rId17" xr:uid="{00000000-0004-0000-0000-000010000000}"/>
    <hyperlink ref="B21" r:id="rId18" xr:uid="{00000000-0004-0000-0000-000011000000}"/>
    <hyperlink ref="B22" r:id="rId19" xr:uid="{00000000-0004-0000-0000-000012000000}"/>
    <hyperlink ref="B23" r:id="rId20" xr:uid="{00000000-0004-0000-0000-000013000000}"/>
    <hyperlink ref="B24" r:id="rId21" xr:uid="{00000000-0004-0000-0000-000014000000}"/>
    <hyperlink ref="B25" r:id="rId22" xr:uid="{00000000-0004-0000-0000-000015000000}"/>
    <hyperlink ref="B26" r:id="rId23" xr:uid="{00000000-0004-0000-0000-000016000000}"/>
    <hyperlink ref="B27" r:id="rId24" xr:uid="{00000000-0004-0000-0000-000017000000}"/>
    <hyperlink ref="B28" r:id="rId25" xr:uid="{00000000-0004-0000-0000-000018000000}"/>
    <hyperlink ref="B29" r:id="rId26" xr:uid="{00000000-0004-0000-0000-000019000000}"/>
    <hyperlink ref="B30" r:id="rId27" xr:uid="{00000000-0004-0000-0000-00001A000000}"/>
    <hyperlink ref="B31" r:id="rId28" xr:uid="{00000000-0004-0000-0000-00001B000000}"/>
    <hyperlink ref="B32" r:id="rId29" xr:uid="{00000000-0004-0000-0000-00001C000000}"/>
    <hyperlink ref="B33" r:id="rId30" xr:uid="{00000000-0004-0000-0000-00001D000000}"/>
    <hyperlink ref="B34" r:id="rId31" xr:uid="{00000000-0004-0000-0000-00001E000000}"/>
    <hyperlink ref="B35" r:id="rId32" xr:uid="{00000000-0004-0000-0000-00001F000000}"/>
    <hyperlink ref="B36" r:id="rId33" xr:uid="{00000000-0004-0000-0000-000020000000}"/>
    <hyperlink ref="B37" r:id="rId34" xr:uid="{00000000-0004-0000-0000-000021000000}"/>
    <hyperlink ref="B38" r:id="rId35" xr:uid="{00000000-0004-0000-0000-000022000000}"/>
    <hyperlink ref="B39" r:id="rId36" xr:uid="{00000000-0004-0000-0000-000023000000}"/>
    <hyperlink ref="B40" r:id="rId37" xr:uid="{00000000-0004-0000-0000-000024000000}"/>
    <hyperlink ref="B41" r:id="rId38" xr:uid="{00000000-0004-0000-0000-000025000000}"/>
    <hyperlink ref="B42" r:id="rId39" xr:uid="{00000000-0004-0000-0000-000026000000}"/>
    <hyperlink ref="B43" r:id="rId40" xr:uid="{00000000-0004-0000-0000-000027000000}"/>
    <hyperlink ref="B44" r:id="rId41" xr:uid="{00000000-0004-0000-0000-000028000000}"/>
    <hyperlink ref="B45" r:id="rId42" xr:uid="{00000000-0004-0000-0000-000029000000}"/>
    <hyperlink ref="B46" r:id="rId43" xr:uid="{00000000-0004-0000-0000-00002A000000}"/>
    <hyperlink ref="B47" r:id="rId44" xr:uid="{00000000-0004-0000-0000-00002B000000}"/>
    <hyperlink ref="B61" r:id="rId45" xr:uid="{F029DA32-80CC-47C5-B62B-FA167F576B6B}"/>
    <hyperlink ref="B62" r:id="rId46" xr:uid="{F76C2418-7DFC-48B0-8DF3-4FDD33F131AC}"/>
    <hyperlink ref="B63" r:id="rId47" xr:uid="{EB11C654-CC5D-46D1-9F8E-3643279FFB6C}"/>
    <hyperlink ref="B64" r:id="rId48" xr:uid="{B7B4DD87-7FEA-4F57-ADA5-99661E3BDA10}"/>
    <hyperlink ref="B65" r:id="rId49" xr:uid="{1B461B7B-EE94-4E99-A4DC-10EAB36F1077}"/>
    <hyperlink ref="B66" r:id="rId50" xr:uid="{3D3B4268-5401-4BA3-823C-FD0A2F23C090}"/>
    <hyperlink ref="B67" r:id="rId51" xr:uid="{A660CD73-2F79-4B89-B2E9-C772BFA4C189}"/>
    <hyperlink ref="B68" r:id="rId52" xr:uid="{565C2EA9-F9D4-4050-8D56-94426FCA6B06}"/>
    <hyperlink ref="B69" r:id="rId53" xr:uid="{2010A22F-8A99-49BC-93D8-62FED02E7C18}"/>
    <hyperlink ref="B70" r:id="rId54" xr:uid="{57CF92BB-2E0C-4AC6-8CFC-9B9200802871}"/>
    <hyperlink ref="B71" r:id="rId55" xr:uid="{5D3BB6C1-2C8F-40A9-B80A-CDBF5A9A121A}"/>
    <hyperlink ref="B72" r:id="rId56" xr:uid="{8C264F4F-F195-41BE-8552-AC6101AEB6ED}"/>
    <hyperlink ref="B73" r:id="rId57" xr:uid="{3C6A084F-B6C7-4BB6-92A1-37EFAADB0268}"/>
    <hyperlink ref="B74" r:id="rId58" xr:uid="{9ACC5407-C6D4-4F74-945F-D8D9E862F3C8}"/>
    <hyperlink ref="B75" r:id="rId59" xr:uid="{073E5C14-9899-4393-B831-7445069F9C67}"/>
    <hyperlink ref="B76" r:id="rId60" xr:uid="{2F710E32-17CD-439A-87A5-D35B4ACE5638}"/>
    <hyperlink ref="B77" r:id="rId61" xr:uid="{2ED7C37D-E7CE-4DB8-9BB3-174B3607BEFA}"/>
    <hyperlink ref="B78" r:id="rId62" xr:uid="{C3B70E75-1FC2-49E2-8F6C-561A6FF77FB8}"/>
    <hyperlink ref="B79" r:id="rId63" xr:uid="{D8459C0F-06B4-4E03-9768-B8319DCCA06D}"/>
    <hyperlink ref="B80" r:id="rId64" xr:uid="{070E8172-F698-410C-84A0-74090579786C}"/>
    <hyperlink ref="B81" r:id="rId65" xr:uid="{EC111EED-8FB0-408E-8572-1C34696985CE}"/>
    <hyperlink ref="B82" r:id="rId66" xr:uid="{239B5D04-32A0-4BDD-A417-858CD1A80B39}"/>
    <hyperlink ref="B83" r:id="rId67" xr:uid="{7CACD313-6CCD-4DB5-8393-99958C844B41}"/>
    <hyperlink ref="B84" r:id="rId68" xr:uid="{CF592A03-A7DD-4DFE-A8D4-3646D1C5EE24}"/>
    <hyperlink ref="B85" r:id="rId69" xr:uid="{B8DEB682-54B3-403C-A340-FDB47B674402}"/>
    <hyperlink ref="B86" r:id="rId70" xr:uid="{2FD04D84-12DB-4A05-96FA-322BF8A51393}"/>
    <hyperlink ref="B87" r:id="rId71" xr:uid="{ED0A4DCA-F874-4AF5-800C-32E538ADA17A}"/>
    <hyperlink ref="B88" r:id="rId72" xr:uid="{FF075EFC-59D0-4B8F-9444-24CEE62766BA}"/>
    <hyperlink ref="B89" r:id="rId73" xr:uid="{E4F0887D-A151-4280-945F-D0F3A50EB1FB}"/>
    <hyperlink ref="B90" r:id="rId74" xr:uid="{418A161D-2E97-45E3-8432-AE625F5BA3F0}"/>
    <hyperlink ref="B91" r:id="rId75" xr:uid="{26EBF590-DBB7-429D-8535-8486BB71F611}"/>
    <hyperlink ref="B92" r:id="rId76" xr:uid="{2383A7F2-5BC4-48C8-81DB-9D598FAE2BD4}"/>
    <hyperlink ref="B93" r:id="rId77" xr:uid="{365E6A8B-0328-441F-9E7F-F277A72C8143}"/>
    <hyperlink ref="B94" r:id="rId78" xr:uid="{1A4FD47F-20FE-460E-B68D-F56B44EB23AE}"/>
    <hyperlink ref="B95" r:id="rId79" xr:uid="{FF5E57A4-7D8C-4117-9379-D8BEA94F80B7}"/>
    <hyperlink ref="B96" r:id="rId80" xr:uid="{FD643F93-FEA8-469F-803F-9426E4BEE5C1}"/>
    <hyperlink ref="B97" r:id="rId81" xr:uid="{FE3439D5-A9EC-440D-80EB-5C3726EB45DC}"/>
    <hyperlink ref="B98" r:id="rId82" xr:uid="{D34C2A41-09BE-42BB-8860-54DA05280069}"/>
    <hyperlink ref="B99" r:id="rId83" xr:uid="{54E64745-14DC-48BF-866D-2B765A7EFC8F}"/>
    <hyperlink ref="B100" r:id="rId84" xr:uid="{B41DD318-3CEF-4331-8DCC-8AE4000F5D5A}"/>
    <hyperlink ref="B101" r:id="rId85" xr:uid="{496B7C75-1D3A-40D7-8AC5-AA16A8BFC26B}"/>
    <hyperlink ref="B102" r:id="rId86" xr:uid="{562A359B-A8F5-4561-BAAA-7DB6E9B1434E}"/>
    <hyperlink ref="B103" r:id="rId87" xr:uid="{7FFA0470-26F6-45DA-A725-D3C29EDDA510}"/>
    <hyperlink ref="B104" r:id="rId88" xr:uid="{A3CDC27F-4237-4A18-A9B5-B01D9399D2A5}"/>
    <hyperlink ref="V4" r:id="rId89" xr:uid="{2688E9C4-A2D7-43C4-9930-907F76D4E45C}"/>
    <hyperlink ref="V5" r:id="rId90" xr:uid="{64D4A7D2-35A6-4CF1-B1AF-39BB463FA780}"/>
    <hyperlink ref="V6" r:id="rId91" xr:uid="{85C0B15A-BBDB-4138-BE16-F8807CB0D80C}"/>
    <hyperlink ref="V7" r:id="rId92" xr:uid="{064B59B1-C0F6-460F-9E14-5616FCA7776B}"/>
    <hyperlink ref="V8" r:id="rId93" xr:uid="{48D2D825-B56E-4E28-AF06-56F473271FF2}"/>
    <hyperlink ref="V9" r:id="rId94" xr:uid="{61DE099A-1F1D-4181-8B28-DABCF6EF1585}"/>
    <hyperlink ref="V10" r:id="rId95" xr:uid="{0C8C4571-8CB4-4C6B-8273-5FB3CF711995}"/>
    <hyperlink ref="V11" r:id="rId96" xr:uid="{74F6B957-36BA-40CB-8C43-77F4A62559FF}"/>
    <hyperlink ref="V12" r:id="rId97" xr:uid="{30092A5A-B8A9-41F4-9037-A17DA4B8F987}"/>
    <hyperlink ref="V13" r:id="rId98" xr:uid="{5D1DB064-42DE-4ABC-B286-FD02CC5FC1F5}"/>
    <hyperlink ref="V14" r:id="rId99" xr:uid="{434B2E99-54CA-4290-8C51-B3771AD97294}"/>
    <hyperlink ref="V15" r:id="rId100" xr:uid="{81F93CB0-5051-4A6D-9400-6D3C0563B777}"/>
    <hyperlink ref="V16" r:id="rId101" xr:uid="{0FA4A1FB-D572-4699-B2A1-D62EE6039615}"/>
    <hyperlink ref="V17" r:id="rId102" xr:uid="{F79552FA-B499-44D3-8ED6-F885AFE8E9C0}"/>
    <hyperlink ref="V18" r:id="rId103" xr:uid="{68B848CF-EDD9-4E55-A2EE-EE37EFECF8DD}"/>
    <hyperlink ref="V19" r:id="rId104" xr:uid="{222601BE-D154-4AC9-9FA4-21C25395DB86}"/>
    <hyperlink ref="V20" r:id="rId105" xr:uid="{FE4E15E6-0173-485C-A3E3-C5CDD891CABC}"/>
    <hyperlink ref="V21" r:id="rId106" xr:uid="{F66BE1B6-9184-434A-9EAE-C4CB95C247D3}"/>
    <hyperlink ref="V22" r:id="rId107" xr:uid="{499E482F-B5AC-4E1C-B504-23C672F386CB}"/>
    <hyperlink ref="V23" r:id="rId108" xr:uid="{168BBDB4-C364-463C-89F6-0D43F8717330}"/>
    <hyperlink ref="V24" r:id="rId109" xr:uid="{765F8C7A-6FD7-43F6-9914-E3653BC6E0B9}"/>
    <hyperlink ref="V25" r:id="rId110" xr:uid="{2C162E75-6DE8-40AE-8664-C5A30624AC58}"/>
    <hyperlink ref="V26" r:id="rId111" xr:uid="{9B38DAFD-78C0-4E4A-AB9F-F405D66B81EC}"/>
    <hyperlink ref="V27" r:id="rId112" xr:uid="{99EA554C-2583-448D-898E-4038CDA7B3CE}"/>
    <hyperlink ref="V28" r:id="rId113" xr:uid="{D404A9B7-F3B6-4807-99E6-773763E1FFC2}"/>
    <hyperlink ref="V29" r:id="rId114" xr:uid="{66D54BE4-3CA5-470A-8A86-17E8CBD13C52}"/>
    <hyperlink ref="V30" r:id="rId115" xr:uid="{044F0746-17BA-4D68-91B8-44A850B2D359}"/>
    <hyperlink ref="V31" r:id="rId116" xr:uid="{F0BFA790-A71A-4EAE-90FF-F3DB59431635}"/>
    <hyperlink ref="V32" r:id="rId117" xr:uid="{71569F82-6BC1-4A53-B8DE-99DEFCB70A9F}"/>
    <hyperlink ref="V33" r:id="rId118" xr:uid="{B97BC6F4-7A55-45E4-B490-47459F63D976}"/>
    <hyperlink ref="V34" r:id="rId119" xr:uid="{5243ED26-0624-4DE9-8A79-AD41CF1D1278}"/>
    <hyperlink ref="V35" r:id="rId120" xr:uid="{3BB93578-1DD5-4963-8E17-CFBD76D6ED4A}"/>
    <hyperlink ref="V36" r:id="rId121" xr:uid="{8907BFB0-BA29-4B3F-A067-18F612F253BF}"/>
    <hyperlink ref="V37" r:id="rId122" xr:uid="{6EF74C53-76A4-4BA9-B499-01EECC6763C5}"/>
    <hyperlink ref="V38" r:id="rId123" xr:uid="{959026F7-46E0-4D9E-9174-752952F2671A}"/>
    <hyperlink ref="V39" r:id="rId124" xr:uid="{5823581D-B8E2-4B27-A827-67F591762EA5}"/>
    <hyperlink ref="V40" r:id="rId125" xr:uid="{B98F5983-ABF3-4FAE-BA4C-E28BB6CB4E16}"/>
    <hyperlink ref="V41" r:id="rId126" xr:uid="{E5511039-A107-42B3-8A53-2377BC60E68D}"/>
    <hyperlink ref="V42" r:id="rId127" xr:uid="{92C097E8-7823-4C1A-9DD7-6E25A44B80B7}"/>
    <hyperlink ref="V43" r:id="rId128" xr:uid="{008912C5-3CC5-4859-A754-7E2A578B5225}"/>
    <hyperlink ref="V44" r:id="rId129" xr:uid="{0DC2361C-6CED-4C07-95FF-E6AF861DC648}"/>
    <hyperlink ref="V45" r:id="rId130" xr:uid="{DA0E7972-26F6-4059-B783-A06315C62F76}"/>
    <hyperlink ref="V46" r:id="rId131" xr:uid="{64556ADD-4107-41FA-A106-2FD2EF636EEB}"/>
    <hyperlink ref="V47" r:id="rId132" xr:uid="{D4307723-6797-4A15-BD45-404AE7E718D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9F742-D7BE-408F-88E6-3A8D38CF821C}">
  <dimension ref="A1:AP107"/>
  <sheetViews>
    <sheetView topLeftCell="A77" zoomScale="63" zoomScaleNormal="100" workbookViewId="0">
      <selection activeCell="T4" sqref="T4:AN5"/>
    </sheetView>
  </sheetViews>
  <sheetFormatPr defaultColWidth="9.1796875" defaultRowHeight="14.5" x14ac:dyDescent="0.35"/>
  <cols>
    <col min="1" max="1" width="5.81640625" bestFit="1" customWidth="1"/>
    <col min="2" max="2" width="34.1796875" bestFit="1" customWidth="1"/>
    <col min="3" max="3" width="9.81640625" bestFit="1" customWidth="1"/>
    <col min="4" max="4" width="12.453125" bestFit="1" customWidth="1"/>
    <col min="5" max="5" width="12.7265625" bestFit="1" customWidth="1"/>
    <col min="6" max="6" width="19.453125" bestFit="1" customWidth="1"/>
    <col min="7" max="7" width="17" bestFit="1" customWidth="1"/>
    <col min="8" max="8" width="26.81640625" bestFit="1" customWidth="1"/>
    <col min="9" max="9" width="11" bestFit="1" customWidth="1"/>
    <col min="10" max="10" width="9.453125" bestFit="1" customWidth="1"/>
    <col min="11" max="11" width="23.26953125" bestFit="1" customWidth="1"/>
    <col min="12" max="12" width="14.54296875" bestFit="1" customWidth="1"/>
    <col min="13" max="13" width="15.26953125" bestFit="1" customWidth="1"/>
    <col min="14" max="14" width="11" bestFit="1" customWidth="1"/>
    <col min="15" max="15" width="31.81640625" bestFit="1" customWidth="1"/>
    <col min="16" max="16" width="16.26953125" bestFit="1" customWidth="1"/>
    <col min="17" max="17" width="17.26953125" bestFit="1" customWidth="1"/>
    <col min="21" max="21" width="31.453125" customWidth="1"/>
    <col min="32" max="32" width="9.36328125" customWidth="1"/>
    <col min="34" max="34" width="19.7265625" bestFit="1" customWidth="1"/>
    <col min="35" max="35" width="9.6328125" bestFit="1" customWidth="1"/>
    <col min="36" max="36" width="20.1796875" bestFit="1" customWidth="1"/>
    <col min="37" max="37" width="12.54296875" bestFit="1" customWidth="1"/>
    <col min="38" max="38" width="17" bestFit="1" customWidth="1"/>
    <col min="40" max="40" width="10.7265625" customWidth="1"/>
    <col min="41" max="41" width="15.26953125" bestFit="1" customWidth="1"/>
  </cols>
  <sheetData>
    <row r="1" spans="1:42" x14ac:dyDescent="0.35">
      <c r="AJ1" t="s">
        <v>89</v>
      </c>
    </row>
    <row r="2" spans="1:42" ht="23.5" x14ac:dyDescent="0.55000000000000004">
      <c r="A2" s="2" t="s">
        <v>44</v>
      </c>
      <c r="B2" s="2" t="s">
        <v>0</v>
      </c>
      <c r="C2" s="51" t="s">
        <v>74</v>
      </c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</row>
    <row r="3" spans="1:42" x14ac:dyDescent="0.35">
      <c r="A3" s="52"/>
      <c r="B3" s="45"/>
      <c r="C3" s="7" t="s">
        <v>45</v>
      </c>
      <c r="D3" s="7" t="s">
        <v>46</v>
      </c>
      <c r="E3" s="7" t="s">
        <v>47</v>
      </c>
      <c r="F3" s="7" t="s">
        <v>48</v>
      </c>
      <c r="G3" s="7" t="s">
        <v>49</v>
      </c>
      <c r="H3" s="7" t="s">
        <v>50</v>
      </c>
      <c r="I3" s="7" t="s">
        <v>51</v>
      </c>
      <c r="J3" s="7" t="s">
        <v>52</v>
      </c>
      <c r="K3" s="7" t="s">
        <v>53</v>
      </c>
      <c r="L3" s="7" t="s">
        <v>54</v>
      </c>
      <c r="M3" s="7" t="s">
        <v>55</v>
      </c>
      <c r="N3" s="7" t="s">
        <v>56</v>
      </c>
      <c r="O3" s="7" t="s">
        <v>57</v>
      </c>
      <c r="P3" s="7" t="s">
        <v>58</v>
      </c>
      <c r="Q3" s="7" t="s">
        <v>59</v>
      </c>
      <c r="R3" s="14" t="s">
        <v>103</v>
      </c>
      <c r="T3" s="7" t="s">
        <v>44</v>
      </c>
      <c r="U3" s="7" t="s">
        <v>0</v>
      </c>
      <c r="V3" s="2" t="s">
        <v>79</v>
      </c>
      <c r="W3" s="2" t="s">
        <v>80</v>
      </c>
      <c r="X3" s="2" t="s">
        <v>81</v>
      </c>
      <c r="Y3" s="2" t="s">
        <v>82</v>
      </c>
      <c r="Z3" s="2" t="s">
        <v>83</v>
      </c>
      <c r="AA3" s="2" t="s">
        <v>84</v>
      </c>
      <c r="AB3" s="2" t="s">
        <v>85</v>
      </c>
      <c r="AC3" s="2" t="s">
        <v>86</v>
      </c>
      <c r="AD3" s="2" t="s">
        <v>87</v>
      </c>
      <c r="AE3" s="2" t="s">
        <v>88</v>
      </c>
      <c r="AF3" s="2" t="s">
        <v>113</v>
      </c>
      <c r="AG3" s="2" t="s">
        <v>114</v>
      </c>
      <c r="AH3" s="2" t="s">
        <v>118</v>
      </c>
      <c r="AI3" s="8" t="s">
        <v>90</v>
      </c>
      <c r="AJ3" s="2" t="s">
        <v>91</v>
      </c>
      <c r="AK3" s="2" t="s">
        <v>92</v>
      </c>
      <c r="AL3" s="2" t="s">
        <v>93</v>
      </c>
      <c r="AM3" s="2" t="s">
        <v>94</v>
      </c>
      <c r="AN3" s="2" t="s">
        <v>95</v>
      </c>
      <c r="AO3" s="13" t="s">
        <v>115</v>
      </c>
    </row>
    <row r="4" spans="1:42" x14ac:dyDescent="0.35">
      <c r="A4" s="46"/>
      <c r="B4" s="47"/>
      <c r="C4" s="28" t="s">
        <v>78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T4" s="43" t="s">
        <v>96</v>
      </c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5"/>
    </row>
    <row r="5" spans="1:42" x14ac:dyDescent="0.35">
      <c r="A5" s="2">
        <v>1</v>
      </c>
      <c r="B5" s="3" t="s">
        <v>1</v>
      </c>
      <c r="C5" s="1">
        <v>2</v>
      </c>
      <c r="D5" s="1">
        <v>3</v>
      </c>
      <c r="E5" s="1">
        <v>4</v>
      </c>
      <c r="F5" s="1">
        <v>3</v>
      </c>
      <c r="G5" s="1">
        <v>2</v>
      </c>
      <c r="H5" s="1">
        <v>5</v>
      </c>
      <c r="I5" s="1">
        <v>3</v>
      </c>
      <c r="J5" s="1">
        <v>2</v>
      </c>
      <c r="K5" s="1">
        <v>2</v>
      </c>
      <c r="L5" s="1">
        <v>1</v>
      </c>
      <c r="M5" s="1">
        <v>4</v>
      </c>
      <c r="N5" s="1">
        <v>4</v>
      </c>
      <c r="O5" s="1">
        <v>4</v>
      </c>
      <c r="P5" s="1">
        <v>7</v>
      </c>
      <c r="Q5" s="1">
        <v>5</v>
      </c>
      <c r="R5">
        <f t="shared" ref="R5:R48" si="0">AVERAGE(C5:Q5)</f>
        <v>3.4</v>
      </c>
      <c r="T5" s="46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47"/>
    </row>
    <row r="6" spans="1:42" x14ac:dyDescent="0.35">
      <c r="A6" s="2">
        <v>2</v>
      </c>
      <c r="B6" s="3" t="s">
        <v>2</v>
      </c>
      <c r="C6" s="1">
        <v>1</v>
      </c>
      <c r="D6" s="1">
        <v>5</v>
      </c>
      <c r="E6" s="1">
        <v>2</v>
      </c>
      <c r="F6" s="1">
        <v>4</v>
      </c>
      <c r="G6" s="1">
        <v>3</v>
      </c>
      <c r="H6" s="1">
        <v>4</v>
      </c>
      <c r="I6" s="1">
        <v>3</v>
      </c>
      <c r="J6" s="1">
        <v>2</v>
      </c>
      <c r="K6" s="1">
        <v>4</v>
      </c>
      <c r="L6" s="1">
        <v>1</v>
      </c>
      <c r="M6" s="1">
        <v>4</v>
      </c>
      <c r="N6" s="1">
        <v>3</v>
      </c>
      <c r="O6" s="1">
        <v>3</v>
      </c>
      <c r="P6" s="1">
        <v>4</v>
      </c>
      <c r="Q6" s="1">
        <v>5</v>
      </c>
      <c r="R6">
        <f t="shared" si="0"/>
        <v>3.2</v>
      </c>
      <c r="T6" s="2">
        <v>1</v>
      </c>
      <c r="U6" s="3" t="s">
        <v>1</v>
      </c>
      <c r="V6" s="1">
        <v>2</v>
      </c>
      <c r="W6" s="1">
        <v>3</v>
      </c>
      <c r="X6" s="1">
        <v>1</v>
      </c>
      <c r="Y6" s="6">
        <v>3</v>
      </c>
      <c r="Z6" s="1">
        <v>5</v>
      </c>
      <c r="AA6" s="1">
        <v>1</v>
      </c>
      <c r="AB6" s="1">
        <v>4</v>
      </c>
      <c r="AC6" s="1">
        <v>2</v>
      </c>
      <c r="AD6" s="1">
        <v>1</v>
      </c>
      <c r="AE6" s="1">
        <v>5</v>
      </c>
      <c r="AF6" s="1">
        <v>8</v>
      </c>
      <c r="AG6" s="1">
        <v>11</v>
      </c>
      <c r="AH6" s="1">
        <v>47.5</v>
      </c>
      <c r="AI6" s="10">
        <v>20</v>
      </c>
      <c r="AJ6" s="1">
        <v>40</v>
      </c>
      <c r="AK6" s="1">
        <v>20</v>
      </c>
      <c r="AL6" s="1">
        <v>5</v>
      </c>
      <c r="AM6" s="1">
        <v>40</v>
      </c>
      <c r="AN6" s="1">
        <v>20</v>
      </c>
      <c r="AO6">
        <f t="shared" ref="AO6:AO49" si="1">AVERAGE(AI6:AN6)</f>
        <v>24.166666666666668</v>
      </c>
    </row>
    <row r="7" spans="1:42" x14ac:dyDescent="0.35">
      <c r="A7" s="2">
        <v>3</v>
      </c>
      <c r="B7" s="3" t="s">
        <v>3</v>
      </c>
      <c r="C7" s="1">
        <v>3</v>
      </c>
      <c r="D7" s="1">
        <v>3</v>
      </c>
      <c r="E7" s="1">
        <v>3</v>
      </c>
      <c r="F7" s="1">
        <v>4</v>
      </c>
      <c r="G7" s="1">
        <v>6</v>
      </c>
      <c r="H7" s="1">
        <v>3</v>
      </c>
      <c r="I7" s="1">
        <v>4</v>
      </c>
      <c r="J7" s="1">
        <v>2</v>
      </c>
      <c r="K7" s="1">
        <v>2</v>
      </c>
      <c r="L7" s="1">
        <v>1</v>
      </c>
      <c r="M7" s="1">
        <v>5</v>
      </c>
      <c r="N7" s="1">
        <v>5</v>
      </c>
      <c r="O7" s="1">
        <v>2</v>
      </c>
      <c r="P7" s="1">
        <v>3</v>
      </c>
      <c r="Q7" s="1">
        <v>6</v>
      </c>
      <c r="R7">
        <f t="shared" si="0"/>
        <v>3.4666666666666668</v>
      </c>
      <c r="T7" s="2">
        <v>2</v>
      </c>
      <c r="U7" s="3" t="s">
        <v>2</v>
      </c>
      <c r="V7" s="1">
        <v>1</v>
      </c>
      <c r="W7" s="1">
        <v>2</v>
      </c>
      <c r="X7" s="1">
        <v>3</v>
      </c>
      <c r="Y7" s="1">
        <v>3</v>
      </c>
      <c r="Z7" s="1">
        <v>3</v>
      </c>
      <c r="AA7" s="1">
        <v>2</v>
      </c>
      <c r="AB7" s="1">
        <v>2</v>
      </c>
      <c r="AC7" s="1">
        <v>3</v>
      </c>
      <c r="AD7" s="1">
        <v>3</v>
      </c>
      <c r="AE7" s="1">
        <v>3</v>
      </c>
      <c r="AF7" s="1">
        <v>7</v>
      </c>
      <c r="AG7" s="1">
        <v>12</v>
      </c>
      <c r="AH7" s="1">
        <v>47.5</v>
      </c>
      <c r="AI7" s="10">
        <v>20</v>
      </c>
      <c r="AJ7" s="1">
        <v>20</v>
      </c>
      <c r="AK7" s="1">
        <v>20</v>
      </c>
      <c r="AL7" s="1">
        <v>40</v>
      </c>
      <c r="AM7" s="1">
        <v>60</v>
      </c>
      <c r="AN7" s="1">
        <v>60</v>
      </c>
      <c r="AO7">
        <f t="shared" si="1"/>
        <v>36.666666666666664</v>
      </c>
    </row>
    <row r="8" spans="1:42" x14ac:dyDescent="0.35">
      <c r="A8" s="2">
        <v>4</v>
      </c>
      <c r="B8" s="3" t="s">
        <v>4</v>
      </c>
      <c r="C8" s="1">
        <v>4</v>
      </c>
      <c r="D8" s="1">
        <v>4</v>
      </c>
      <c r="E8" s="1">
        <v>3</v>
      </c>
      <c r="F8" s="1">
        <v>3</v>
      </c>
      <c r="G8" s="1">
        <v>4</v>
      </c>
      <c r="H8" s="1">
        <v>4</v>
      </c>
      <c r="I8" s="1">
        <v>2</v>
      </c>
      <c r="J8" s="1">
        <v>4</v>
      </c>
      <c r="K8" s="1">
        <v>3</v>
      </c>
      <c r="L8" s="1">
        <v>2</v>
      </c>
      <c r="M8" s="1">
        <v>6</v>
      </c>
      <c r="N8" s="1">
        <v>3</v>
      </c>
      <c r="O8" s="1">
        <v>3</v>
      </c>
      <c r="P8" s="1">
        <v>5</v>
      </c>
      <c r="Q8" s="1">
        <v>6</v>
      </c>
      <c r="R8">
        <f t="shared" si="0"/>
        <v>3.7333333333333334</v>
      </c>
      <c r="T8" s="2">
        <v>3</v>
      </c>
      <c r="U8" s="3" t="s">
        <v>3</v>
      </c>
      <c r="V8" s="1">
        <v>1</v>
      </c>
      <c r="W8" s="1">
        <v>2</v>
      </c>
      <c r="X8" s="1">
        <v>5</v>
      </c>
      <c r="Y8" s="1">
        <v>1</v>
      </c>
      <c r="Z8" s="1">
        <v>4</v>
      </c>
      <c r="AA8" s="1">
        <v>1</v>
      </c>
      <c r="AB8" s="1">
        <v>4</v>
      </c>
      <c r="AC8" s="1">
        <v>2</v>
      </c>
      <c r="AD8" s="1">
        <v>3</v>
      </c>
      <c r="AE8" s="1">
        <v>1</v>
      </c>
      <c r="AF8" s="1">
        <v>12</v>
      </c>
      <c r="AG8" s="1">
        <v>18</v>
      </c>
      <c r="AH8" s="1">
        <v>75</v>
      </c>
      <c r="AI8" s="10">
        <v>20</v>
      </c>
      <c r="AJ8" s="1">
        <v>5</v>
      </c>
      <c r="AK8" s="1">
        <v>40</v>
      </c>
      <c r="AL8" s="1">
        <v>20</v>
      </c>
      <c r="AM8" s="1">
        <v>40</v>
      </c>
      <c r="AN8" s="1">
        <v>20</v>
      </c>
      <c r="AO8">
        <f t="shared" si="1"/>
        <v>24.166666666666668</v>
      </c>
    </row>
    <row r="9" spans="1:42" x14ac:dyDescent="0.35">
      <c r="A9" s="2">
        <v>5</v>
      </c>
      <c r="B9" s="3" t="s">
        <v>5</v>
      </c>
      <c r="C9" s="1">
        <v>2</v>
      </c>
      <c r="D9" s="1">
        <v>4</v>
      </c>
      <c r="E9" s="1">
        <v>3</v>
      </c>
      <c r="F9" s="1">
        <v>4</v>
      </c>
      <c r="G9" s="1">
        <v>4</v>
      </c>
      <c r="H9" s="1">
        <v>4</v>
      </c>
      <c r="I9" s="1">
        <v>5</v>
      </c>
      <c r="J9" s="1">
        <v>3</v>
      </c>
      <c r="K9" s="1">
        <v>3</v>
      </c>
      <c r="L9" s="1">
        <v>4</v>
      </c>
      <c r="M9" s="1">
        <v>7</v>
      </c>
      <c r="N9" s="1">
        <v>7</v>
      </c>
      <c r="O9" s="1">
        <v>4</v>
      </c>
      <c r="P9" s="1">
        <v>3</v>
      </c>
      <c r="Q9" s="1">
        <v>5</v>
      </c>
      <c r="R9">
        <f t="shared" si="0"/>
        <v>4.1333333333333337</v>
      </c>
      <c r="T9" s="2">
        <v>4</v>
      </c>
      <c r="U9" s="3" t="s">
        <v>4</v>
      </c>
      <c r="V9" s="1">
        <v>4</v>
      </c>
      <c r="W9" s="1">
        <v>1</v>
      </c>
      <c r="X9" s="1">
        <v>2</v>
      </c>
      <c r="Y9" s="1">
        <v>1</v>
      </c>
      <c r="Z9" s="1">
        <v>3</v>
      </c>
      <c r="AA9" s="1">
        <v>2</v>
      </c>
      <c r="AB9" s="1">
        <v>4</v>
      </c>
      <c r="AC9" s="1">
        <v>1</v>
      </c>
      <c r="AD9" s="1">
        <v>4</v>
      </c>
      <c r="AE9" s="1">
        <v>5</v>
      </c>
      <c r="AF9" s="1">
        <v>12</v>
      </c>
      <c r="AG9" s="1">
        <v>15</v>
      </c>
      <c r="AH9" s="1">
        <v>67.5</v>
      </c>
      <c r="AI9" s="11">
        <v>5</v>
      </c>
      <c r="AJ9" s="1">
        <v>20</v>
      </c>
      <c r="AK9" s="1">
        <v>5</v>
      </c>
      <c r="AL9" s="1">
        <v>20</v>
      </c>
      <c r="AM9" s="1">
        <v>5</v>
      </c>
      <c r="AN9" s="1">
        <v>20</v>
      </c>
      <c r="AO9">
        <f t="shared" si="1"/>
        <v>12.5</v>
      </c>
    </row>
    <row r="10" spans="1:42" x14ac:dyDescent="0.35">
      <c r="A10" s="2">
        <v>6</v>
      </c>
      <c r="B10" s="3" t="s">
        <v>6</v>
      </c>
      <c r="C10" s="1">
        <v>1</v>
      </c>
      <c r="D10" s="1">
        <v>5</v>
      </c>
      <c r="E10" s="1">
        <v>2</v>
      </c>
      <c r="F10" s="1">
        <v>4</v>
      </c>
      <c r="G10" s="1">
        <v>4</v>
      </c>
      <c r="H10" s="1">
        <v>3</v>
      </c>
      <c r="I10" s="1">
        <v>1</v>
      </c>
      <c r="J10" s="1">
        <v>4</v>
      </c>
      <c r="K10" s="1">
        <v>3</v>
      </c>
      <c r="L10" s="1">
        <v>5</v>
      </c>
      <c r="M10" s="1">
        <v>2</v>
      </c>
      <c r="N10" s="1">
        <v>5</v>
      </c>
      <c r="O10" s="1">
        <v>3</v>
      </c>
      <c r="P10" s="1">
        <v>4</v>
      </c>
      <c r="Q10" s="1">
        <v>2</v>
      </c>
      <c r="R10">
        <f t="shared" si="0"/>
        <v>3.2</v>
      </c>
      <c r="T10" s="2">
        <v>5</v>
      </c>
      <c r="U10" s="3" t="s">
        <v>5</v>
      </c>
      <c r="V10" s="1">
        <v>1</v>
      </c>
      <c r="W10" s="1">
        <v>2</v>
      </c>
      <c r="X10" s="1">
        <v>2</v>
      </c>
      <c r="Y10" s="1">
        <v>4</v>
      </c>
      <c r="Z10" s="1">
        <v>3</v>
      </c>
      <c r="AA10" s="1">
        <v>5</v>
      </c>
      <c r="AB10" s="1">
        <v>3</v>
      </c>
      <c r="AC10" s="1">
        <v>3</v>
      </c>
      <c r="AD10" s="1">
        <v>2</v>
      </c>
      <c r="AE10" s="1">
        <v>1</v>
      </c>
      <c r="AF10" s="1">
        <v>6</v>
      </c>
      <c r="AG10" s="1">
        <v>10</v>
      </c>
      <c r="AH10" s="1">
        <v>40</v>
      </c>
      <c r="AI10" s="1">
        <v>5</v>
      </c>
      <c r="AJ10" s="1">
        <v>20</v>
      </c>
      <c r="AK10" s="1">
        <v>5</v>
      </c>
      <c r="AL10" s="1">
        <v>60</v>
      </c>
      <c r="AM10" s="1">
        <v>60</v>
      </c>
      <c r="AN10" s="1">
        <v>85</v>
      </c>
      <c r="AO10">
        <f t="shared" si="1"/>
        <v>39.166666666666664</v>
      </c>
    </row>
    <row r="11" spans="1:42" x14ac:dyDescent="0.35">
      <c r="A11" s="2">
        <v>7</v>
      </c>
      <c r="B11" s="3" t="s">
        <v>7</v>
      </c>
      <c r="C11" s="1">
        <v>5</v>
      </c>
      <c r="D11" s="1">
        <v>3</v>
      </c>
      <c r="E11" s="1">
        <v>2</v>
      </c>
      <c r="F11" s="1">
        <v>3</v>
      </c>
      <c r="G11" s="1">
        <v>5</v>
      </c>
      <c r="H11" s="1">
        <v>3</v>
      </c>
      <c r="I11" s="1">
        <v>1</v>
      </c>
      <c r="J11" s="1">
        <v>4</v>
      </c>
      <c r="K11" s="1">
        <v>2</v>
      </c>
      <c r="L11" s="1">
        <v>1</v>
      </c>
      <c r="M11" s="1">
        <v>2</v>
      </c>
      <c r="N11" s="1">
        <v>4</v>
      </c>
      <c r="O11" s="1">
        <v>4</v>
      </c>
      <c r="P11" s="1">
        <v>4</v>
      </c>
      <c r="Q11" s="1">
        <v>3</v>
      </c>
      <c r="R11">
        <f t="shared" si="0"/>
        <v>3.0666666666666669</v>
      </c>
      <c r="T11" s="2">
        <v>6</v>
      </c>
      <c r="U11" s="3" t="s">
        <v>6</v>
      </c>
      <c r="V11" s="1">
        <v>1</v>
      </c>
      <c r="W11" s="1">
        <v>2</v>
      </c>
      <c r="X11" s="1">
        <v>1</v>
      </c>
      <c r="Y11" s="1">
        <v>1</v>
      </c>
      <c r="Z11" s="1">
        <v>2</v>
      </c>
      <c r="AA11" s="1">
        <v>2</v>
      </c>
      <c r="AB11" s="1">
        <v>3</v>
      </c>
      <c r="AC11" s="1">
        <v>3</v>
      </c>
      <c r="AD11" s="1">
        <v>4</v>
      </c>
      <c r="AE11" s="1">
        <v>3</v>
      </c>
      <c r="AF11" s="1">
        <v>6</v>
      </c>
      <c r="AG11" s="1">
        <v>14</v>
      </c>
      <c r="AH11" s="1">
        <v>50</v>
      </c>
      <c r="AI11" s="1">
        <v>5</v>
      </c>
      <c r="AJ11" s="1">
        <v>5</v>
      </c>
      <c r="AK11" s="1">
        <v>20</v>
      </c>
      <c r="AL11" s="1">
        <v>5</v>
      </c>
      <c r="AM11" s="1">
        <v>40</v>
      </c>
      <c r="AN11" s="1">
        <v>20</v>
      </c>
      <c r="AO11">
        <f t="shared" si="1"/>
        <v>15.833333333333334</v>
      </c>
    </row>
    <row r="12" spans="1:42" x14ac:dyDescent="0.35">
      <c r="A12" s="2">
        <v>8</v>
      </c>
      <c r="B12" s="3" t="s">
        <v>8</v>
      </c>
      <c r="C12" s="1">
        <v>4</v>
      </c>
      <c r="D12" s="1">
        <v>3</v>
      </c>
      <c r="E12" s="1">
        <v>3</v>
      </c>
      <c r="F12" s="1">
        <v>2</v>
      </c>
      <c r="G12" s="1">
        <v>6</v>
      </c>
      <c r="H12" s="1">
        <v>2</v>
      </c>
      <c r="I12" s="1">
        <v>4</v>
      </c>
      <c r="J12" s="1">
        <v>4</v>
      </c>
      <c r="K12" s="1">
        <v>2</v>
      </c>
      <c r="L12" s="1">
        <v>1</v>
      </c>
      <c r="M12" s="1">
        <v>1</v>
      </c>
      <c r="N12" s="1">
        <v>5</v>
      </c>
      <c r="O12" s="1">
        <v>4</v>
      </c>
      <c r="P12" s="1">
        <v>5</v>
      </c>
      <c r="Q12" s="1">
        <v>3</v>
      </c>
      <c r="R12">
        <f t="shared" si="0"/>
        <v>3.2666666666666666</v>
      </c>
      <c r="T12" s="2">
        <v>7</v>
      </c>
      <c r="U12" s="3" t="s">
        <v>7</v>
      </c>
      <c r="V12" s="1">
        <v>1</v>
      </c>
      <c r="W12" s="1">
        <v>2</v>
      </c>
      <c r="X12" s="1">
        <v>1</v>
      </c>
      <c r="Y12" s="1">
        <v>1</v>
      </c>
      <c r="Z12" s="1">
        <v>2</v>
      </c>
      <c r="AA12" s="1">
        <v>3</v>
      </c>
      <c r="AB12" s="1">
        <v>2</v>
      </c>
      <c r="AC12" s="1">
        <v>3</v>
      </c>
      <c r="AD12" s="1">
        <v>2</v>
      </c>
      <c r="AE12" s="1">
        <v>2</v>
      </c>
      <c r="AF12" s="1">
        <v>3</v>
      </c>
      <c r="AG12" s="1">
        <v>14</v>
      </c>
      <c r="AH12" s="1">
        <v>42.5</v>
      </c>
      <c r="AI12" s="1">
        <v>5</v>
      </c>
      <c r="AJ12" s="1">
        <v>20</v>
      </c>
      <c r="AK12" s="1">
        <v>5</v>
      </c>
      <c r="AL12" s="1">
        <v>20</v>
      </c>
      <c r="AM12" s="1">
        <v>5</v>
      </c>
      <c r="AN12" s="1">
        <v>40</v>
      </c>
      <c r="AO12">
        <f t="shared" si="1"/>
        <v>15.833333333333334</v>
      </c>
    </row>
    <row r="13" spans="1:42" x14ac:dyDescent="0.35">
      <c r="A13" s="2">
        <v>9</v>
      </c>
      <c r="B13" s="3" t="s">
        <v>9</v>
      </c>
      <c r="C13" s="1">
        <v>2</v>
      </c>
      <c r="D13" s="1">
        <v>4</v>
      </c>
      <c r="E13" s="1">
        <v>4</v>
      </c>
      <c r="F13" s="1">
        <v>3</v>
      </c>
      <c r="G13" s="1">
        <v>7</v>
      </c>
      <c r="H13" s="1">
        <v>6</v>
      </c>
      <c r="I13" s="1">
        <v>4</v>
      </c>
      <c r="J13" s="1">
        <v>4</v>
      </c>
      <c r="K13" s="1">
        <v>3</v>
      </c>
      <c r="L13" s="1">
        <v>4</v>
      </c>
      <c r="M13" s="1">
        <v>6</v>
      </c>
      <c r="N13" s="1">
        <v>2</v>
      </c>
      <c r="O13" s="1">
        <v>7</v>
      </c>
      <c r="P13" s="1">
        <v>3</v>
      </c>
      <c r="Q13" s="1">
        <v>5</v>
      </c>
      <c r="R13">
        <f t="shared" si="0"/>
        <v>4.2666666666666666</v>
      </c>
      <c r="T13" s="2">
        <v>8</v>
      </c>
      <c r="U13" s="3" t="s">
        <v>8</v>
      </c>
      <c r="V13" s="1">
        <v>2</v>
      </c>
      <c r="W13" s="1">
        <v>1</v>
      </c>
      <c r="X13" s="1">
        <v>2</v>
      </c>
      <c r="Y13" s="1">
        <v>2</v>
      </c>
      <c r="Z13" s="1">
        <v>3</v>
      </c>
      <c r="AA13" s="1">
        <v>3</v>
      </c>
      <c r="AB13" s="1">
        <v>1</v>
      </c>
      <c r="AC13" s="1">
        <v>3</v>
      </c>
      <c r="AD13" s="1">
        <v>2</v>
      </c>
      <c r="AE13" s="1">
        <v>3</v>
      </c>
      <c r="AF13" s="1">
        <v>5</v>
      </c>
      <c r="AG13" s="1">
        <v>13</v>
      </c>
      <c r="AH13" s="1">
        <v>45</v>
      </c>
      <c r="AI13" s="1">
        <v>5</v>
      </c>
      <c r="AJ13" s="1">
        <v>20</v>
      </c>
      <c r="AK13" s="1">
        <v>5</v>
      </c>
      <c r="AL13" s="1">
        <v>20</v>
      </c>
      <c r="AM13" s="1">
        <v>5</v>
      </c>
      <c r="AN13" s="1">
        <v>20</v>
      </c>
      <c r="AO13">
        <f t="shared" si="1"/>
        <v>12.5</v>
      </c>
    </row>
    <row r="14" spans="1:42" x14ac:dyDescent="0.35">
      <c r="A14" s="2">
        <v>10</v>
      </c>
      <c r="B14" s="3" t="s">
        <v>10</v>
      </c>
      <c r="C14" s="1">
        <v>1</v>
      </c>
      <c r="D14" s="1">
        <v>3</v>
      </c>
      <c r="E14" s="1">
        <v>2</v>
      </c>
      <c r="F14" s="1">
        <v>4</v>
      </c>
      <c r="G14" s="1">
        <v>2</v>
      </c>
      <c r="H14" s="1">
        <v>5</v>
      </c>
      <c r="I14" s="1">
        <v>5</v>
      </c>
      <c r="J14" s="1">
        <v>4</v>
      </c>
      <c r="K14" s="1">
        <v>4</v>
      </c>
      <c r="L14" s="1">
        <v>4</v>
      </c>
      <c r="M14" s="1">
        <v>5</v>
      </c>
      <c r="N14" s="1">
        <v>1</v>
      </c>
      <c r="O14" s="1">
        <v>4</v>
      </c>
      <c r="P14" s="1">
        <v>6</v>
      </c>
      <c r="Q14" s="1">
        <v>1</v>
      </c>
      <c r="R14">
        <f t="shared" si="0"/>
        <v>3.4</v>
      </c>
      <c r="T14" s="2">
        <v>9</v>
      </c>
      <c r="U14" s="3" t="s">
        <v>9</v>
      </c>
      <c r="V14" s="1">
        <v>2</v>
      </c>
      <c r="W14" s="1">
        <v>1</v>
      </c>
      <c r="X14" s="1">
        <v>1</v>
      </c>
      <c r="Y14" s="1">
        <v>2</v>
      </c>
      <c r="Z14" s="1">
        <v>2</v>
      </c>
      <c r="AA14" s="1">
        <v>1</v>
      </c>
      <c r="AB14" s="1">
        <v>5</v>
      </c>
      <c r="AC14" s="1">
        <v>2</v>
      </c>
      <c r="AD14" s="1">
        <v>3</v>
      </c>
      <c r="AE14" s="1">
        <v>3</v>
      </c>
      <c r="AF14" s="1">
        <v>8</v>
      </c>
      <c r="AG14" s="1">
        <v>16</v>
      </c>
      <c r="AH14" s="1">
        <v>60</v>
      </c>
      <c r="AI14" s="1">
        <v>40</v>
      </c>
      <c r="AJ14" s="1">
        <v>60</v>
      </c>
      <c r="AK14" s="1">
        <v>40</v>
      </c>
      <c r="AL14" s="1">
        <v>60</v>
      </c>
      <c r="AM14" s="1">
        <v>40</v>
      </c>
      <c r="AN14" s="1">
        <v>60</v>
      </c>
      <c r="AO14">
        <f t="shared" si="1"/>
        <v>50</v>
      </c>
    </row>
    <row r="15" spans="1:42" x14ac:dyDescent="0.35">
      <c r="A15" s="2">
        <v>11</v>
      </c>
      <c r="B15" s="3" t="s">
        <v>11</v>
      </c>
      <c r="C15" s="1">
        <v>3</v>
      </c>
      <c r="D15" s="1">
        <v>5</v>
      </c>
      <c r="E15" s="1">
        <v>2</v>
      </c>
      <c r="F15" s="1">
        <v>2</v>
      </c>
      <c r="G15" s="1">
        <v>2</v>
      </c>
      <c r="H15" s="1">
        <v>6</v>
      </c>
      <c r="I15" s="1">
        <v>6</v>
      </c>
      <c r="J15" s="1">
        <v>4</v>
      </c>
      <c r="K15" s="1">
        <v>2</v>
      </c>
      <c r="L15" s="1">
        <v>5</v>
      </c>
      <c r="M15" s="1">
        <v>5</v>
      </c>
      <c r="N15" s="1">
        <v>5</v>
      </c>
      <c r="O15" s="1">
        <v>3</v>
      </c>
      <c r="P15" s="1">
        <v>4</v>
      </c>
      <c r="Q15" s="1">
        <v>1</v>
      </c>
      <c r="R15">
        <f t="shared" si="0"/>
        <v>3.6666666666666665</v>
      </c>
      <c r="T15" s="2">
        <v>10</v>
      </c>
      <c r="U15" s="3" t="s">
        <v>10</v>
      </c>
      <c r="V15" s="1">
        <v>1</v>
      </c>
      <c r="W15" s="1">
        <v>2</v>
      </c>
      <c r="X15" s="1">
        <v>1</v>
      </c>
      <c r="Y15" s="1">
        <v>2</v>
      </c>
      <c r="Z15" s="1">
        <v>2</v>
      </c>
      <c r="AA15" s="1">
        <v>3</v>
      </c>
      <c r="AB15" s="1">
        <v>4</v>
      </c>
      <c r="AC15" s="1">
        <v>1</v>
      </c>
      <c r="AD15" s="1">
        <v>2</v>
      </c>
      <c r="AE15" s="1">
        <v>2</v>
      </c>
      <c r="AF15" s="1">
        <v>5</v>
      </c>
      <c r="AG15" s="1">
        <v>15</v>
      </c>
      <c r="AH15" s="1">
        <v>50</v>
      </c>
      <c r="AI15" s="1">
        <v>20</v>
      </c>
      <c r="AJ15" s="1">
        <v>40</v>
      </c>
      <c r="AK15" s="1">
        <v>20</v>
      </c>
      <c r="AL15" s="1">
        <v>20</v>
      </c>
      <c r="AM15" s="1">
        <v>40</v>
      </c>
      <c r="AN15" s="1">
        <v>40</v>
      </c>
      <c r="AO15">
        <f t="shared" si="1"/>
        <v>30</v>
      </c>
    </row>
    <row r="16" spans="1:42" x14ac:dyDescent="0.35">
      <c r="A16" s="2">
        <v>12</v>
      </c>
      <c r="B16" s="3" t="s">
        <v>12</v>
      </c>
      <c r="C16" s="1">
        <v>5</v>
      </c>
      <c r="D16" s="1">
        <v>3</v>
      </c>
      <c r="E16" s="1">
        <v>3</v>
      </c>
      <c r="F16" s="1">
        <v>4</v>
      </c>
      <c r="G16" s="1">
        <v>1</v>
      </c>
      <c r="H16" s="1">
        <v>7</v>
      </c>
      <c r="I16" s="1">
        <v>2</v>
      </c>
      <c r="J16" s="1">
        <v>3</v>
      </c>
      <c r="K16" s="1">
        <v>2</v>
      </c>
      <c r="L16" s="1">
        <v>6</v>
      </c>
      <c r="M16" s="1">
        <v>4</v>
      </c>
      <c r="N16" s="1">
        <v>2</v>
      </c>
      <c r="O16" s="1">
        <v>5</v>
      </c>
      <c r="P16" s="1">
        <v>3</v>
      </c>
      <c r="Q16" s="1">
        <v>2</v>
      </c>
      <c r="R16">
        <f t="shared" si="0"/>
        <v>3.4666666666666668</v>
      </c>
      <c r="T16" s="2">
        <v>11</v>
      </c>
      <c r="U16" s="3" t="s">
        <v>11</v>
      </c>
      <c r="V16" s="1">
        <v>4</v>
      </c>
      <c r="W16" s="1">
        <v>3</v>
      </c>
      <c r="X16" s="1">
        <v>4</v>
      </c>
      <c r="Y16" s="1">
        <v>3</v>
      </c>
      <c r="Z16" s="1">
        <v>3</v>
      </c>
      <c r="AA16" s="1">
        <v>3</v>
      </c>
      <c r="AB16" s="1">
        <v>4</v>
      </c>
      <c r="AC16" s="1">
        <v>3</v>
      </c>
      <c r="AD16" s="1">
        <v>4</v>
      </c>
      <c r="AE16" s="1">
        <v>3</v>
      </c>
      <c r="AF16" s="1">
        <v>14</v>
      </c>
      <c r="AG16" s="1">
        <v>10</v>
      </c>
      <c r="AH16" s="1">
        <v>60</v>
      </c>
      <c r="AI16" s="1">
        <v>20</v>
      </c>
      <c r="AJ16" s="1">
        <v>20</v>
      </c>
      <c r="AK16" s="1">
        <v>40</v>
      </c>
      <c r="AL16" s="1">
        <v>60</v>
      </c>
      <c r="AM16" s="1">
        <v>20</v>
      </c>
      <c r="AN16" s="1">
        <v>40</v>
      </c>
      <c r="AO16">
        <f t="shared" si="1"/>
        <v>33.333333333333336</v>
      </c>
    </row>
    <row r="17" spans="1:41" x14ac:dyDescent="0.35">
      <c r="A17" s="2">
        <v>13</v>
      </c>
      <c r="B17" s="3" t="s">
        <v>13</v>
      </c>
      <c r="C17" s="1">
        <v>4</v>
      </c>
      <c r="D17" s="1">
        <v>4</v>
      </c>
      <c r="E17" s="1">
        <v>2</v>
      </c>
      <c r="F17" s="1">
        <v>2</v>
      </c>
      <c r="G17" s="1">
        <v>6</v>
      </c>
      <c r="H17" s="1">
        <v>4</v>
      </c>
      <c r="I17" s="1">
        <v>1</v>
      </c>
      <c r="J17" s="1">
        <v>3</v>
      </c>
      <c r="K17" s="1">
        <v>3</v>
      </c>
      <c r="L17" s="1">
        <v>2</v>
      </c>
      <c r="M17" s="1">
        <v>3</v>
      </c>
      <c r="N17" s="1">
        <v>2</v>
      </c>
      <c r="O17" s="1">
        <v>3</v>
      </c>
      <c r="P17" s="1">
        <v>5</v>
      </c>
      <c r="Q17" s="1">
        <v>5</v>
      </c>
      <c r="R17">
        <f t="shared" si="0"/>
        <v>3.2666666666666666</v>
      </c>
      <c r="T17" s="2">
        <v>12</v>
      </c>
      <c r="U17" s="3" t="s">
        <v>12</v>
      </c>
      <c r="V17" s="1">
        <v>1</v>
      </c>
      <c r="W17" s="1">
        <v>1</v>
      </c>
      <c r="X17" s="1">
        <v>2</v>
      </c>
      <c r="Y17" s="1">
        <v>1</v>
      </c>
      <c r="Z17" s="1">
        <v>3</v>
      </c>
      <c r="AA17" s="1">
        <v>2</v>
      </c>
      <c r="AB17" s="1">
        <v>3</v>
      </c>
      <c r="AC17" s="1">
        <v>2</v>
      </c>
      <c r="AD17" s="1">
        <v>3</v>
      </c>
      <c r="AE17" s="1">
        <v>3</v>
      </c>
      <c r="AF17" s="1">
        <v>7</v>
      </c>
      <c r="AG17" s="1">
        <v>16</v>
      </c>
      <c r="AH17" s="1">
        <v>57.5</v>
      </c>
      <c r="AI17" s="1">
        <v>5</v>
      </c>
      <c r="AJ17" s="1">
        <v>20</v>
      </c>
      <c r="AK17" s="1">
        <v>20</v>
      </c>
      <c r="AL17" s="1">
        <v>5</v>
      </c>
      <c r="AM17" s="1">
        <v>40</v>
      </c>
      <c r="AN17" s="1">
        <v>40</v>
      </c>
      <c r="AO17">
        <f t="shared" si="1"/>
        <v>21.666666666666668</v>
      </c>
    </row>
    <row r="18" spans="1:41" x14ac:dyDescent="0.35">
      <c r="A18" s="2">
        <v>14</v>
      </c>
      <c r="B18" s="3" t="s">
        <v>14</v>
      </c>
      <c r="C18" s="1">
        <v>3</v>
      </c>
      <c r="D18" s="1">
        <v>4</v>
      </c>
      <c r="E18" s="1">
        <v>4</v>
      </c>
      <c r="F18" s="1">
        <v>3</v>
      </c>
      <c r="G18" s="1">
        <v>5</v>
      </c>
      <c r="H18" s="1">
        <v>4</v>
      </c>
      <c r="I18" s="1">
        <v>2</v>
      </c>
      <c r="J18" s="1">
        <v>3</v>
      </c>
      <c r="K18" s="1">
        <v>4</v>
      </c>
      <c r="L18" s="1">
        <v>1</v>
      </c>
      <c r="M18" s="1">
        <v>3</v>
      </c>
      <c r="N18" s="1">
        <v>7</v>
      </c>
      <c r="O18" s="1">
        <v>4</v>
      </c>
      <c r="P18" s="1">
        <v>3</v>
      </c>
      <c r="Q18" s="1">
        <v>2</v>
      </c>
      <c r="R18">
        <f t="shared" si="0"/>
        <v>3.4666666666666668</v>
      </c>
      <c r="T18" s="2">
        <v>13</v>
      </c>
      <c r="U18" s="3" t="s">
        <v>13</v>
      </c>
      <c r="V18" s="1">
        <v>2</v>
      </c>
      <c r="W18" s="1">
        <v>2</v>
      </c>
      <c r="X18" s="1">
        <v>3</v>
      </c>
      <c r="Y18" s="1">
        <v>2</v>
      </c>
      <c r="Z18" s="1">
        <v>1</v>
      </c>
      <c r="AA18" s="1">
        <v>3</v>
      </c>
      <c r="AB18" s="1">
        <v>2</v>
      </c>
      <c r="AC18" s="1">
        <v>4</v>
      </c>
      <c r="AD18" s="1">
        <v>3</v>
      </c>
      <c r="AE18" s="1">
        <v>3</v>
      </c>
      <c r="AF18" s="1">
        <v>6</v>
      </c>
      <c r="AG18" s="1">
        <v>11</v>
      </c>
      <c r="AH18" s="1">
        <v>42.5</v>
      </c>
      <c r="AI18" s="1">
        <v>5</v>
      </c>
      <c r="AJ18" s="1">
        <v>20</v>
      </c>
      <c r="AK18" s="1">
        <v>20</v>
      </c>
      <c r="AL18" s="1">
        <v>20</v>
      </c>
      <c r="AM18" s="1">
        <v>40</v>
      </c>
      <c r="AN18" s="1">
        <v>60</v>
      </c>
      <c r="AO18">
        <f t="shared" si="1"/>
        <v>27.5</v>
      </c>
    </row>
    <row r="19" spans="1:41" x14ac:dyDescent="0.35">
      <c r="A19" s="2">
        <v>15</v>
      </c>
      <c r="B19" s="3" t="s">
        <v>15</v>
      </c>
      <c r="C19" s="1">
        <v>2</v>
      </c>
      <c r="D19" s="1">
        <v>3</v>
      </c>
      <c r="E19" s="1">
        <v>4</v>
      </c>
      <c r="F19" s="1">
        <v>3</v>
      </c>
      <c r="G19" s="1">
        <v>5</v>
      </c>
      <c r="H19" s="1">
        <v>3</v>
      </c>
      <c r="I19" s="1">
        <v>4</v>
      </c>
      <c r="J19" s="1">
        <v>2</v>
      </c>
      <c r="K19" s="1">
        <v>2</v>
      </c>
      <c r="L19" s="1">
        <v>2</v>
      </c>
      <c r="M19" s="1">
        <v>5</v>
      </c>
      <c r="N19" s="1">
        <v>3</v>
      </c>
      <c r="O19" s="1">
        <v>4</v>
      </c>
      <c r="P19" s="1">
        <v>7</v>
      </c>
      <c r="Q19" s="1">
        <v>2</v>
      </c>
      <c r="R19">
        <f t="shared" si="0"/>
        <v>3.4</v>
      </c>
      <c r="T19" s="2">
        <v>14</v>
      </c>
      <c r="U19" s="3" t="s">
        <v>14</v>
      </c>
      <c r="V19" s="1">
        <v>2</v>
      </c>
      <c r="W19" s="1">
        <v>1</v>
      </c>
      <c r="X19" s="1">
        <v>2</v>
      </c>
      <c r="Y19" s="1">
        <v>2</v>
      </c>
      <c r="Z19" s="1">
        <v>1</v>
      </c>
      <c r="AA19" s="1">
        <v>3</v>
      </c>
      <c r="AB19" s="1">
        <v>4</v>
      </c>
      <c r="AC19" s="1">
        <v>3</v>
      </c>
      <c r="AD19" s="1">
        <v>3</v>
      </c>
      <c r="AE19" s="1">
        <v>2</v>
      </c>
      <c r="AF19" s="1">
        <v>7</v>
      </c>
      <c r="AG19" s="1">
        <v>14</v>
      </c>
      <c r="AH19" s="1">
        <v>52.5</v>
      </c>
      <c r="AI19" s="1">
        <v>5</v>
      </c>
      <c r="AJ19" s="1">
        <v>20</v>
      </c>
      <c r="AK19" s="1">
        <v>5</v>
      </c>
      <c r="AL19" s="1">
        <v>20</v>
      </c>
      <c r="AM19" s="1">
        <v>20</v>
      </c>
      <c r="AN19" s="1">
        <v>20</v>
      </c>
      <c r="AO19">
        <f t="shared" si="1"/>
        <v>15</v>
      </c>
    </row>
    <row r="20" spans="1:41" x14ac:dyDescent="0.35">
      <c r="A20" s="2">
        <v>16</v>
      </c>
      <c r="B20" s="3" t="s">
        <v>16</v>
      </c>
      <c r="C20" s="1">
        <v>3</v>
      </c>
      <c r="D20" s="1">
        <v>3</v>
      </c>
      <c r="E20" s="1">
        <v>3</v>
      </c>
      <c r="F20" s="1">
        <v>3</v>
      </c>
      <c r="G20" s="1">
        <v>4</v>
      </c>
      <c r="H20" s="1">
        <v>2</v>
      </c>
      <c r="I20" s="1">
        <v>3</v>
      </c>
      <c r="J20" s="1">
        <v>1</v>
      </c>
      <c r="K20" s="1">
        <v>3</v>
      </c>
      <c r="L20" s="1">
        <v>4</v>
      </c>
      <c r="M20" s="1">
        <v>5</v>
      </c>
      <c r="N20" s="1">
        <v>2</v>
      </c>
      <c r="O20" s="1">
        <v>5</v>
      </c>
      <c r="P20" s="1">
        <v>5</v>
      </c>
      <c r="Q20" s="1">
        <v>3</v>
      </c>
      <c r="R20">
        <f t="shared" si="0"/>
        <v>3.2666666666666666</v>
      </c>
      <c r="T20" s="2">
        <v>15</v>
      </c>
      <c r="U20" s="3" t="s">
        <v>15</v>
      </c>
      <c r="V20" s="1">
        <v>1</v>
      </c>
      <c r="W20" s="1">
        <v>1</v>
      </c>
      <c r="X20" s="1">
        <v>3</v>
      </c>
      <c r="Y20" s="1">
        <v>4</v>
      </c>
      <c r="Z20" s="1">
        <v>2</v>
      </c>
      <c r="AA20" s="1">
        <v>3</v>
      </c>
      <c r="AB20" s="1">
        <v>3</v>
      </c>
      <c r="AC20" s="1">
        <v>2</v>
      </c>
      <c r="AD20" s="1">
        <v>3</v>
      </c>
      <c r="AE20" s="1">
        <v>4</v>
      </c>
      <c r="AF20" s="1">
        <v>7</v>
      </c>
      <c r="AG20" s="1">
        <v>11</v>
      </c>
      <c r="AH20" s="1">
        <v>45</v>
      </c>
      <c r="AI20" s="1">
        <v>20</v>
      </c>
      <c r="AJ20" s="1">
        <v>20</v>
      </c>
      <c r="AK20" s="1">
        <v>40</v>
      </c>
      <c r="AL20" s="1">
        <v>40</v>
      </c>
      <c r="AM20" s="1">
        <v>20</v>
      </c>
      <c r="AN20" s="1">
        <v>40</v>
      </c>
      <c r="AO20">
        <f t="shared" si="1"/>
        <v>30</v>
      </c>
    </row>
    <row r="21" spans="1:41" x14ac:dyDescent="0.35">
      <c r="A21" s="2">
        <v>17</v>
      </c>
      <c r="B21" s="3" t="s">
        <v>17</v>
      </c>
      <c r="C21" s="1">
        <v>2</v>
      </c>
      <c r="D21" s="1">
        <v>3</v>
      </c>
      <c r="E21" s="1">
        <v>3</v>
      </c>
      <c r="F21" s="1">
        <v>2</v>
      </c>
      <c r="G21" s="1">
        <v>3</v>
      </c>
      <c r="H21" s="1">
        <v>3</v>
      </c>
      <c r="I21" s="1">
        <v>4</v>
      </c>
      <c r="J21" s="1">
        <v>1</v>
      </c>
      <c r="K21" s="1">
        <v>3</v>
      </c>
      <c r="L21" s="1">
        <v>3</v>
      </c>
      <c r="M21" s="1">
        <v>6</v>
      </c>
      <c r="N21" s="1">
        <v>3</v>
      </c>
      <c r="O21" s="1">
        <v>3</v>
      </c>
      <c r="P21" s="1">
        <v>4</v>
      </c>
      <c r="Q21" s="1">
        <v>3</v>
      </c>
      <c r="R21">
        <f t="shared" si="0"/>
        <v>3.0666666666666669</v>
      </c>
      <c r="T21" s="2">
        <v>16</v>
      </c>
      <c r="U21" s="3" t="s">
        <v>16</v>
      </c>
      <c r="V21" s="1">
        <v>3</v>
      </c>
      <c r="W21" s="1">
        <v>2</v>
      </c>
      <c r="X21" s="1">
        <v>3</v>
      </c>
      <c r="Y21" s="1">
        <v>2</v>
      </c>
      <c r="Z21" s="1">
        <v>2</v>
      </c>
      <c r="AA21" s="1">
        <v>4</v>
      </c>
      <c r="AB21" s="1">
        <v>2</v>
      </c>
      <c r="AC21" s="1">
        <v>4</v>
      </c>
      <c r="AD21" s="1">
        <v>2</v>
      </c>
      <c r="AE21" s="1">
        <v>3</v>
      </c>
      <c r="AF21" s="1">
        <v>7</v>
      </c>
      <c r="AG21" s="1">
        <v>10</v>
      </c>
      <c r="AH21" s="1">
        <v>42.5</v>
      </c>
      <c r="AI21" s="1">
        <v>5</v>
      </c>
      <c r="AJ21" s="1">
        <v>20</v>
      </c>
      <c r="AK21" s="1">
        <v>5</v>
      </c>
      <c r="AL21" s="1">
        <v>40</v>
      </c>
      <c r="AM21" s="1">
        <v>20</v>
      </c>
      <c r="AN21" s="1">
        <v>40</v>
      </c>
      <c r="AO21">
        <f t="shared" si="1"/>
        <v>21.666666666666668</v>
      </c>
    </row>
    <row r="22" spans="1:41" x14ac:dyDescent="0.35">
      <c r="A22" s="2">
        <f>18</f>
        <v>18</v>
      </c>
      <c r="B22" s="3" t="s">
        <v>18</v>
      </c>
      <c r="C22" s="1">
        <v>4</v>
      </c>
      <c r="D22" s="1">
        <v>5</v>
      </c>
      <c r="E22" s="1">
        <v>3</v>
      </c>
      <c r="F22" s="1">
        <v>2</v>
      </c>
      <c r="G22" s="1">
        <v>3</v>
      </c>
      <c r="H22" s="1">
        <v>4</v>
      </c>
      <c r="I22" s="1">
        <v>4</v>
      </c>
      <c r="J22" s="1">
        <v>2</v>
      </c>
      <c r="K22" s="1">
        <v>3</v>
      </c>
      <c r="L22" s="1">
        <v>4</v>
      </c>
      <c r="M22" s="1">
        <v>6</v>
      </c>
      <c r="N22" s="1">
        <v>5</v>
      </c>
      <c r="O22" s="1">
        <v>6</v>
      </c>
      <c r="P22" s="1">
        <v>5</v>
      </c>
      <c r="Q22" s="1">
        <v>4</v>
      </c>
      <c r="R22">
        <f t="shared" si="0"/>
        <v>4</v>
      </c>
      <c r="T22" s="2">
        <v>17</v>
      </c>
      <c r="U22" s="3" t="s">
        <v>17</v>
      </c>
      <c r="V22" s="1">
        <v>2</v>
      </c>
      <c r="W22" s="1">
        <v>1</v>
      </c>
      <c r="X22" s="1">
        <v>1</v>
      </c>
      <c r="Y22" s="1">
        <v>3</v>
      </c>
      <c r="Z22" s="1">
        <v>2</v>
      </c>
      <c r="AA22" s="1">
        <v>4</v>
      </c>
      <c r="AB22" s="1">
        <v>5</v>
      </c>
      <c r="AC22" s="1">
        <v>1</v>
      </c>
      <c r="AD22" s="1">
        <v>3</v>
      </c>
      <c r="AE22" s="1">
        <v>2</v>
      </c>
      <c r="AF22" s="1">
        <v>8</v>
      </c>
      <c r="AG22" s="1">
        <v>14</v>
      </c>
      <c r="AH22" s="1">
        <v>55</v>
      </c>
      <c r="AI22" s="1">
        <v>20</v>
      </c>
      <c r="AJ22" s="1">
        <v>20</v>
      </c>
      <c r="AK22" s="1">
        <v>5</v>
      </c>
      <c r="AL22" s="1">
        <v>40</v>
      </c>
      <c r="AM22" s="1">
        <v>20</v>
      </c>
      <c r="AN22" s="1">
        <v>40</v>
      </c>
      <c r="AO22">
        <f t="shared" si="1"/>
        <v>24.166666666666668</v>
      </c>
    </row>
    <row r="23" spans="1:41" x14ac:dyDescent="0.35">
      <c r="A23" s="2">
        <v>19</v>
      </c>
      <c r="B23" s="3" t="s">
        <v>19</v>
      </c>
      <c r="C23" s="1">
        <v>1</v>
      </c>
      <c r="D23" s="1">
        <v>5</v>
      </c>
      <c r="E23" s="1">
        <v>4</v>
      </c>
      <c r="F23" s="1">
        <v>3</v>
      </c>
      <c r="G23" s="1">
        <v>5</v>
      </c>
      <c r="H23" s="1">
        <v>3</v>
      </c>
      <c r="I23" s="1">
        <v>3</v>
      </c>
      <c r="J23" s="1">
        <v>4</v>
      </c>
      <c r="K23" s="1">
        <v>2</v>
      </c>
      <c r="L23" s="1">
        <v>4</v>
      </c>
      <c r="M23" s="1">
        <v>5</v>
      </c>
      <c r="N23" s="1">
        <v>6</v>
      </c>
      <c r="O23" s="1">
        <v>4</v>
      </c>
      <c r="P23" s="1">
        <v>2</v>
      </c>
      <c r="Q23" s="1">
        <v>3</v>
      </c>
      <c r="R23">
        <f t="shared" si="0"/>
        <v>3.6</v>
      </c>
      <c r="T23" s="2">
        <f>18</f>
        <v>18</v>
      </c>
      <c r="U23" s="3" t="s">
        <v>18</v>
      </c>
      <c r="V23" s="1">
        <v>1</v>
      </c>
      <c r="W23" s="1">
        <v>3</v>
      </c>
      <c r="X23" s="1">
        <v>3</v>
      </c>
      <c r="Y23" s="1">
        <v>2</v>
      </c>
      <c r="Z23" s="1">
        <v>3</v>
      </c>
      <c r="AA23" s="1">
        <v>2</v>
      </c>
      <c r="AB23" s="1">
        <v>3</v>
      </c>
      <c r="AC23" s="1">
        <v>3</v>
      </c>
      <c r="AD23" s="1">
        <v>4</v>
      </c>
      <c r="AE23" s="1">
        <v>4</v>
      </c>
      <c r="AF23" s="1">
        <v>9</v>
      </c>
      <c r="AG23" s="1">
        <v>11</v>
      </c>
      <c r="AH23" s="1">
        <v>50</v>
      </c>
      <c r="AI23" s="1">
        <v>40</v>
      </c>
      <c r="AJ23" s="1">
        <v>40</v>
      </c>
      <c r="AK23" s="1">
        <v>60</v>
      </c>
      <c r="AL23" s="1">
        <v>60</v>
      </c>
      <c r="AM23" s="1">
        <v>40</v>
      </c>
      <c r="AN23" s="1">
        <v>40</v>
      </c>
      <c r="AO23">
        <f t="shared" si="1"/>
        <v>46.666666666666664</v>
      </c>
    </row>
    <row r="24" spans="1:41" x14ac:dyDescent="0.35">
      <c r="A24" s="2">
        <v>20</v>
      </c>
      <c r="B24" s="3" t="s">
        <v>20</v>
      </c>
      <c r="C24" s="1">
        <v>1</v>
      </c>
      <c r="D24" s="1">
        <v>3</v>
      </c>
      <c r="E24" s="1">
        <v>3</v>
      </c>
      <c r="F24" s="1">
        <v>4</v>
      </c>
      <c r="G24" s="1">
        <v>5</v>
      </c>
      <c r="H24" s="1">
        <v>4</v>
      </c>
      <c r="I24" s="1">
        <v>2</v>
      </c>
      <c r="J24" s="1">
        <v>2</v>
      </c>
      <c r="K24" s="1">
        <v>2</v>
      </c>
      <c r="L24" s="1">
        <v>3</v>
      </c>
      <c r="M24" s="1">
        <v>2</v>
      </c>
      <c r="N24" s="1">
        <v>2</v>
      </c>
      <c r="O24" s="1">
        <v>3</v>
      </c>
      <c r="P24" s="1">
        <v>1</v>
      </c>
      <c r="Q24" s="1">
        <v>5</v>
      </c>
      <c r="R24">
        <f t="shared" si="0"/>
        <v>2.8</v>
      </c>
      <c r="T24" s="2">
        <v>19</v>
      </c>
      <c r="U24" s="3" t="s">
        <v>19</v>
      </c>
      <c r="V24" s="1">
        <v>1</v>
      </c>
      <c r="W24" s="1">
        <v>2</v>
      </c>
      <c r="X24" s="1">
        <v>1</v>
      </c>
      <c r="Y24" s="1">
        <v>2</v>
      </c>
      <c r="Z24" s="1">
        <v>2</v>
      </c>
      <c r="AA24" s="1">
        <v>3</v>
      </c>
      <c r="AB24" s="1">
        <v>3</v>
      </c>
      <c r="AC24" s="1">
        <v>4</v>
      </c>
      <c r="AD24" s="1">
        <v>4</v>
      </c>
      <c r="AE24" s="1">
        <v>5</v>
      </c>
      <c r="AF24" s="1">
        <v>6</v>
      </c>
      <c r="AG24" s="1">
        <v>9</v>
      </c>
      <c r="AH24" s="1">
        <v>37.5</v>
      </c>
      <c r="AI24" s="1">
        <v>5</v>
      </c>
      <c r="AJ24" s="1">
        <v>20</v>
      </c>
      <c r="AK24" s="1">
        <v>5</v>
      </c>
      <c r="AL24" s="1">
        <v>40</v>
      </c>
      <c r="AM24" s="1">
        <v>40</v>
      </c>
      <c r="AN24" s="1">
        <v>85</v>
      </c>
      <c r="AO24">
        <f t="shared" si="1"/>
        <v>32.5</v>
      </c>
    </row>
    <row r="25" spans="1:41" x14ac:dyDescent="0.35">
      <c r="A25" s="2">
        <v>21</v>
      </c>
      <c r="B25" s="3" t="s">
        <v>21</v>
      </c>
      <c r="C25" s="1">
        <v>5</v>
      </c>
      <c r="D25" s="1">
        <v>3</v>
      </c>
      <c r="E25" s="1">
        <v>2</v>
      </c>
      <c r="F25" s="1">
        <v>2</v>
      </c>
      <c r="G25" s="1">
        <v>6</v>
      </c>
      <c r="H25" s="1">
        <v>4</v>
      </c>
      <c r="I25" s="1">
        <v>3</v>
      </c>
      <c r="J25" s="1">
        <v>3</v>
      </c>
      <c r="K25" s="1">
        <v>3</v>
      </c>
      <c r="L25" s="1">
        <v>2</v>
      </c>
      <c r="M25" s="1">
        <v>3</v>
      </c>
      <c r="N25" s="1">
        <v>6</v>
      </c>
      <c r="O25" s="1">
        <v>5</v>
      </c>
      <c r="P25" s="1">
        <v>5</v>
      </c>
      <c r="Q25" s="1">
        <v>3</v>
      </c>
      <c r="R25">
        <f t="shared" si="0"/>
        <v>3.6666666666666665</v>
      </c>
      <c r="T25" s="2">
        <v>20</v>
      </c>
      <c r="U25" s="3" t="s">
        <v>20</v>
      </c>
      <c r="V25" s="1">
        <v>1</v>
      </c>
      <c r="W25" s="1">
        <v>2</v>
      </c>
      <c r="X25" s="1">
        <v>1</v>
      </c>
      <c r="Y25" s="1">
        <v>2</v>
      </c>
      <c r="Z25" s="1">
        <v>2</v>
      </c>
      <c r="AA25" s="1">
        <v>3</v>
      </c>
      <c r="AB25" s="1">
        <v>4</v>
      </c>
      <c r="AC25" s="6">
        <v>2</v>
      </c>
      <c r="AD25" s="1">
        <v>2</v>
      </c>
      <c r="AE25" s="1">
        <v>3</v>
      </c>
      <c r="AF25" s="1">
        <v>5</v>
      </c>
      <c r="AG25" s="1">
        <v>13</v>
      </c>
      <c r="AH25" s="1">
        <v>45</v>
      </c>
      <c r="AI25" s="1">
        <v>20</v>
      </c>
      <c r="AJ25" s="1">
        <v>40</v>
      </c>
      <c r="AK25" s="1">
        <v>20</v>
      </c>
      <c r="AL25" s="1">
        <v>40</v>
      </c>
      <c r="AM25" s="1">
        <v>20</v>
      </c>
      <c r="AN25" s="1">
        <v>20</v>
      </c>
      <c r="AO25">
        <f t="shared" si="1"/>
        <v>26.666666666666668</v>
      </c>
    </row>
    <row r="26" spans="1:41" x14ac:dyDescent="0.35">
      <c r="A26" s="2">
        <v>22</v>
      </c>
      <c r="B26" s="3" t="s">
        <v>22</v>
      </c>
      <c r="C26" s="1">
        <v>2</v>
      </c>
      <c r="D26" s="1">
        <v>5</v>
      </c>
      <c r="E26" s="1">
        <v>2</v>
      </c>
      <c r="F26" s="1">
        <v>2</v>
      </c>
      <c r="G26" s="1">
        <v>6</v>
      </c>
      <c r="H26" s="1">
        <v>7</v>
      </c>
      <c r="I26" s="1">
        <v>4</v>
      </c>
      <c r="J26" s="1">
        <v>3</v>
      </c>
      <c r="K26" s="1">
        <v>4</v>
      </c>
      <c r="L26" s="1">
        <v>3</v>
      </c>
      <c r="M26" s="1">
        <v>3</v>
      </c>
      <c r="N26" s="1">
        <v>5</v>
      </c>
      <c r="O26" s="1">
        <v>3</v>
      </c>
      <c r="P26" s="1">
        <v>2</v>
      </c>
      <c r="Q26" s="1">
        <v>4</v>
      </c>
      <c r="R26">
        <f t="shared" si="0"/>
        <v>3.6666666666666665</v>
      </c>
      <c r="T26" s="2">
        <v>21</v>
      </c>
      <c r="U26" s="3" t="s">
        <v>21</v>
      </c>
      <c r="V26" s="1">
        <v>3</v>
      </c>
      <c r="W26" s="1">
        <v>3</v>
      </c>
      <c r="X26" s="1">
        <v>2</v>
      </c>
      <c r="Y26" s="1">
        <v>3</v>
      </c>
      <c r="Z26" s="1">
        <v>3</v>
      </c>
      <c r="AA26" s="1">
        <v>4</v>
      </c>
      <c r="AB26" s="1">
        <v>3</v>
      </c>
      <c r="AC26" s="1">
        <v>3</v>
      </c>
      <c r="AD26" s="1">
        <v>3</v>
      </c>
      <c r="AE26" s="1">
        <v>4</v>
      </c>
      <c r="AF26" s="1">
        <v>9</v>
      </c>
      <c r="AG26" s="1">
        <v>8</v>
      </c>
      <c r="AH26" s="1">
        <v>42.5</v>
      </c>
      <c r="AI26" s="1">
        <v>20</v>
      </c>
      <c r="AJ26" s="1">
        <v>20</v>
      </c>
      <c r="AK26" s="1">
        <v>20</v>
      </c>
      <c r="AL26" s="1">
        <v>40</v>
      </c>
      <c r="AM26" s="1">
        <v>20</v>
      </c>
      <c r="AN26" s="1">
        <v>20</v>
      </c>
      <c r="AO26">
        <f t="shared" si="1"/>
        <v>23.333333333333332</v>
      </c>
    </row>
    <row r="27" spans="1:41" x14ac:dyDescent="0.35">
      <c r="A27" s="2">
        <v>23</v>
      </c>
      <c r="B27" s="3" t="s">
        <v>23</v>
      </c>
      <c r="C27" s="1">
        <v>3</v>
      </c>
      <c r="D27" s="1">
        <v>5</v>
      </c>
      <c r="E27" s="1">
        <v>2</v>
      </c>
      <c r="F27" s="1">
        <v>3</v>
      </c>
      <c r="G27" s="1">
        <v>5</v>
      </c>
      <c r="H27" s="1">
        <v>4</v>
      </c>
      <c r="I27" s="1">
        <v>2</v>
      </c>
      <c r="J27" s="1">
        <v>3</v>
      </c>
      <c r="K27" s="1">
        <v>2</v>
      </c>
      <c r="L27" s="1">
        <v>4</v>
      </c>
      <c r="M27" s="1">
        <v>5</v>
      </c>
      <c r="N27" s="1">
        <v>6</v>
      </c>
      <c r="O27" s="1">
        <v>7</v>
      </c>
      <c r="P27" s="1">
        <v>2</v>
      </c>
      <c r="Q27" s="1">
        <v>4</v>
      </c>
      <c r="R27">
        <f t="shared" si="0"/>
        <v>3.8</v>
      </c>
      <c r="T27" s="2">
        <v>22</v>
      </c>
      <c r="U27" s="3" t="s">
        <v>22</v>
      </c>
      <c r="V27" s="1">
        <v>1</v>
      </c>
      <c r="W27" s="1">
        <v>1</v>
      </c>
      <c r="X27" s="1">
        <v>2</v>
      </c>
      <c r="Y27" s="1">
        <v>3</v>
      </c>
      <c r="Z27" s="1">
        <v>2</v>
      </c>
      <c r="AA27" s="1">
        <v>4</v>
      </c>
      <c r="AB27" s="1">
        <v>4</v>
      </c>
      <c r="AC27" s="1">
        <v>3</v>
      </c>
      <c r="AD27" s="1">
        <v>5</v>
      </c>
      <c r="AE27" s="1">
        <v>4</v>
      </c>
      <c r="AF27" s="1">
        <v>9</v>
      </c>
      <c r="AG27" s="1">
        <v>10</v>
      </c>
      <c r="AH27" s="1">
        <v>47.5</v>
      </c>
      <c r="AI27" s="1">
        <v>5</v>
      </c>
      <c r="AJ27" s="1">
        <v>5</v>
      </c>
      <c r="AK27" s="1">
        <v>40</v>
      </c>
      <c r="AL27" s="1">
        <v>40</v>
      </c>
      <c r="AM27" s="1">
        <v>20</v>
      </c>
      <c r="AN27" s="1">
        <v>40</v>
      </c>
      <c r="AO27">
        <f t="shared" si="1"/>
        <v>25</v>
      </c>
    </row>
    <row r="28" spans="1:41" x14ac:dyDescent="0.35">
      <c r="A28" s="2">
        <v>24</v>
      </c>
      <c r="B28" s="3" t="s">
        <v>24</v>
      </c>
      <c r="C28" s="1">
        <v>3</v>
      </c>
      <c r="D28" s="1">
        <v>5</v>
      </c>
      <c r="E28" s="1">
        <v>3</v>
      </c>
      <c r="F28" s="1">
        <v>4</v>
      </c>
      <c r="G28" s="1">
        <v>2</v>
      </c>
      <c r="H28" s="1">
        <v>3</v>
      </c>
      <c r="I28" s="1">
        <v>4</v>
      </c>
      <c r="J28" s="1">
        <v>2</v>
      </c>
      <c r="K28" s="1">
        <v>2</v>
      </c>
      <c r="L28" s="1">
        <v>2</v>
      </c>
      <c r="M28" s="1">
        <v>1</v>
      </c>
      <c r="N28" s="1">
        <v>7</v>
      </c>
      <c r="O28" s="1">
        <v>5</v>
      </c>
      <c r="P28" s="1">
        <v>7</v>
      </c>
      <c r="Q28" s="1">
        <v>2</v>
      </c>
      <c r="R28">
        <f t="shared" si="0"/>
        <v>3.4666666666666668</v>
      </c>
      <c r="T28" s="2">
        <v>23</v>
      </c>
      <c r="U28" s="3" t="s">
        <v>23</v>
      </c>
      <c r="V28" s="1">
        <v>2</v>
      </c>
      <c r="W28" s="1">
        <v>1</v>
      </c>
      <c r="X28" s="1">
        <v>3</v>
      </c>
      <c r="Y28" s="1">
        <v>2</v>
      </c>
      <c r="Z28" s="1">
        <v>3</v>
      </c>
      <c r="AA28" s="1">
        <v>2</v>
      </c>
      <c r="AB28" s="1">
        <v>3</v>
      </c>
      <c r="AC28" s="1">
        <v>2</v>
      </c>
      <c r="AD28" s="1">
        <v>5</v>
      </c>
      <c r="AE28" s="1">
        <v>1</v>
      </c>
      <c r="AF28" s="1">
        <v>11</v>
      </c>
      <c r="AG28" s="1">
        <v>17</v>
      </c>
      <c r="AH28" s="1">
        <v>70</v>
      </c>
      <c r="AI28" s="1">
        <v>20</v>
      </c>
      <c r="AJ28" s="1">
        <v>40</v>
      </c>
      <c r="AK28" s="1">
        <v>20</v>
      </c>
      <c r="AL28" s="1">
        <v>20</v>
      </c>
      <c r="AM28" s="1">
        <v>20</v>
      </c>
      <c r="AN28" s="1">
        <v>60</v>
      </c>
      <c r="AO28">
        <f t="shared" si="1"/>
        <v>30</v>
      </c>
    </row>
    <row r="29" spans="1:41" x14ac:dyDescent="0.35">
      <c r="A29" s="2">
        <v>25</v>
      </c>
      <c r="B29" s="3" t="s">
        <v>25</v>
      </c>
      <c r="C29" s="1">
        <v>5</v>
      </c>
      <c r="D29" s="1">
        <v>4</v>
      </c>
      <c r="E29" s="1">
        <v>4</v>
      </c>
      <c r="F29" s="1">
        <v>2</v>
      </c>
      <c r="G29" s="1">
        <v>3</v>
      </c>
      <c r="H29" s="1">
        <v>5</v>
      </c>
      <c r="I29" s="1">
        <v>2</v>
      </c>
      <c r="J29" s="1">
        <v>2</v>
      </c>
      <c r="K29" s="1">
        <v>3</v>
      </c>
      <c r="L29" s="1">
        <v>4</v>
      </c>
      <c r="M29" s="1">
        <v>1</v>
      </c>
      <c r="N29" s="1">
        <v>4</v>
      </c>
      <c r="O29" s="1">
        <v>4</v>
      </c>
      <c r="P29" s="1">
        <v>3</v>
      </c>
      <c r="Q29" s="1">
        <v>5</v>
      </c>
      <c r="R29">
        <f t="shared" si="0"/>
        <v>3.4</v>
      </c>
      <c r="T29" s="2">
        <v>24</v>
      </c>
      <c r="U29" s="3" t="s">
        <v>24</v>
      </c>
      <c r="V29" s="1">
        <v>3</v>
      </c>
      <c r="W29" s="1">
        <v>2</v>
      </c>
      <c r="X29" s="1">
        <v>1</v>
      </c>
      <c r="Y29" s="1">
        <v>2</v>
      </c>
      <c r="Z29" s="1">
        <v>1</v>
      </c>
      <c r="AA29" s="1">
        <v>4</v>
      </c>
      <c r="AB29" s="1">
        <v>3</v>
      </c>
      <c r="AC29" s="1">
        <v>1</v>
      </c>
      <c r="AD29" s="1">
        <v>3</v>
      </c>
      <c r="AE29" s="1">
        <v>1</v>
      </c>
      <c r="AF29" s="1">
        <v>6</v>
      </c>
      <c r="AG29" s="1">
        <v>15</v>
      </c>
      <c r="AH29" s="1">
        <v>52.5</v>
      </c>
      <c r="AI29" s="1">
        <v>5</v>
      </c>
      <c r="AJ29" s="1">
        <v>20</v>
      </c>
      <c r="AK29" s="1">
        <v>40</v>
      </c>
      <c r="AL29" s="1">
        <v>20</v>
      </c>
      <c r="AM29" s="1">
        <v>20</v>
      </c>
      <c r="AN29" s="1">
        <v>40</v>
      </c>
      <c r="AO29">
        <f t="shared" si="1"/>
        <v>24.166666666666668</v>
      </c>
    </row>
    <row r="30" spans="1:41" x14ac:dyDescent="0.35">
      <c r="A30" s="2">
        <v>26</v>
      </c>
      <c r="B30" s="3" t="s">
        <v>26</v>
      </c>
      <c r="C30" s="1">
        <v>1</v>
      </c>
      <c r="D30" s="1">
        <v>4</v>
      </c>
      <c r="E30" s="1">
        <v>4</v>
      </c>
      <c r="F30" s="1">
        <v>3</v>
      </c>
      <c r="G30" s="1">
        <v>3</v>
      </c>
      <c r="H30" s="1">
        <v>3</v>
      </c>
      <c r="I30" s="1">
        <v>3</v>
      </c>
      <c r="J30" s="1">
        <v>3</v>
      </c>
      <c r="K30" s="1">
        <v>4</v>
      </c>
      <c r="L30" s="1">
        <v>2</v>
      </c>
      <c r="M30" s="1">
        <v>2</v>
      </c>
      <c r="N30" s="1">
        <v>4</v>
      </c>
      <c r="O30" s="1">
        <v>5</v>
      </c>
      <c r="P30" s="1">
        <v>2</v>
      </c>
      <c r="Q30" s="1">
        <v>1</v>
      </c>
      <c r="R30">
        <f t="shared" si="0"/>
        <v>2.9333333333333331</v>
      </c>
      <c r="T30" s="2">
        <v>25</v>
      </c>
      <c r="U30" s="3" t="s">
        <v>25</v>
      </c>
      <c r="V30" s="1">
        <v>4</v>
      </c>
      <c r="W30" s="1">
        <v>2</v>
      </c>
      <c r="X30" s="1">
        <v>4</v>
      </c>
      <c r="Y30" s="1">
        <v>2</v>
      </c>
      <c r="Z30" s="1">
        <v>4</v>
      </c>
      <c r="AA30" s="1">
        <v>1</v>
      </c>
      <c r="AB30" s="1">
        <v>4</v>
      </c>
      <c r="AC30" s="1">
        <v>1</v>
      </c>
      <c r="AD30" s="1">
        <v>4</v>
      </c>
      <c r="AE30" s="1">
        <v>1</v>
      </c>
      <c r="AF30" s="1">
        <v>15</v>
      </c>
      <c r="AG30" s="1">
        <v>18</v>
      </c>
      <c r="AH30" s="1">
        <v>82.5</v>
      </c>
      <c r="AI30" s="1">
        <v>40</v>
      </c>
      <c r="AJ30" s="1">
        <v>20</v>
      </c>
      <c r="AK30" s="1">
        <v>60</v>
      </c>
      <c r="AL30" s="1">
        <v>20</v>
      </c>
      <c r="AM30" s="1">
        <v>40</v>
      </c>
      <c r="AN30" s="1">
        <v>40</v>
      </c>
      <c r="AO30">
        <f t="shared" si="1"/>
        <v>36.666666666666664</v>
      </c>
    </row>
    <row r="31" spans="1:41" x14ac:dyDescent="0.35">
      <c r="A31" s="2">
        <v>27</v>
      </c>
      <c r="B31" s="3" t="s">
        <v>27</v>
      </c>
      <c r="C31" s="1">
        <v>1</v>
      </c>
      <c r="D31" s="1">
        <v>4</v>
      </c>
      <c r="E31" s="1">
        <v>4</v>
      </c>
      <c r="F31" s="1">
        <v>3</v>
      </c>
      <c r="G31" s="1">
        <v>5</v>
      </c>
      <c r="H31" s="1">
        <v>4</v>
      </c>
      <c r="I31" s="1">
        <v>3</v>
      </c>
      <c r="J31" s="1">
        <v>4</v>
      </c>
      <c r="K31" s="1">
        <v>4</v>
      </c>
      <c r="L31" s="1">
        <v>3</v>
      </c>
      <c r="M31" s="1">
        <v>5</v>
      </c>
      <c r="N31" s="1">
        <v>3</v>
      </c>
      <c r="O31" s="1">
        <v>2</v>
      </c>
      <c r="P31" s="1">
        <v>3</v>
      </c>
      <c r="Q31" s="1">
        <v>1</v>
      </c>
      <c r="R31">
        <f t="shared" si="0"/>
        <v>3.2666666666666666</v>
      </c>
      <c r="T31" s="2">
        <v>26</v>
      </c>
      <c r="U31" s="3" t="s">
        <v>26</v>
      </c>
      <c r="V31" s="1">
        <v>1</v>
      </c>
      <c r="W31" s="1">
        <v>2</v>
      </c>
      <c r="X31" s="1">
        <v>1</v>
      </c>
      <c r="Y31" s="1">
        <v>3</v>
      </c>
      <c r="Z31" s="1">
        <v>2</v>
      </c>
      <c r="AA31" s="1">
        <v>3</v>
      </c>
      <c r="AB31" s="1">
        <v>2</v>
      </c>
      <c r="AC31" s="1">
        <v>3</v>
      </c>
      <c r="AD31" s="1">
        <v>2</v>
      </c>
      <c r="AE31" s="1">
        <v>3</v>
      </c>
      <c r="AF31" s="1">
        <v>3</v>
      </c>
      <c r="AG31" s="1">
        <v>11</v>
      </c>
      <c r="AH31" s="1">
        <v>35</v>
      </c>
      <c r="AI31" s="1">
        <v>20</v>
      </c>
      <c r="AJ31" s="1">
        <v>40</v>
      </c>
      <c r="AK31" s="1">
        <v>20</v>
      </c>
      <c r="AL31" s="1">
        <v>40</v>
      </c>
      <c r="AM31" s="1">
        <v>40</v>
      </c>
      <c r="AN31" s="1">
        <v>20</v>
      </c>
      <c r="AO31">
        <f t="shared" si="1"/>
        <v>30</v>
      </c>
    </row>
    <row r="32" spans="1:41" x14ac:dyDescent="0.35">
      <c r="A32" s="2">
        <v>28</v>
      </c>
      <c r="B32" s="3" t="s">
        <v>28</v>
      </c>
      <c r="C32" s="1">
        <v>2</v>
      </c>
      <c r="D32" s="1">
        <v>3</v>
      </c>
      <c r="E32" s="1">
        <v>4</v>
      </c>
      <c r="F32" s="1">
        <v>3</v>
      </c>
      <c r="G32" s="1">
        <v>1</v>
      </c>
      <c r="H32" s="1">
        <v>4</v>
      </c>
      <c r="I32" s="1">
        <v>3</v>
      </c>
      <c r="J32" s="1">
        <v>2</v>
      </c>
      <c r="K32" s="1">
        <v>3</v>
      </c>
      <c r="L32" s="1">
        <v>3</v>
      </c>
      <c r="M32" s="1">
        <v>2</v>
      </c>
      <c r="N32" s="1">
        <v>2</v>
      </c>
      <c r="O32" s="1">
        <v>1</v>
      </c>
      <c r="P32" s="1">
        <v>5</v>
      </c>
      <c r="Q32" s="1">
        <v>4</v>
      </c>
      <c r="R32">
        <f t="shared" si="0"/>
        <v>2.8</v>
      </c>
      <c r="T32" s="2">
        <v>27</v>
      </c>
      <c r="U32" s="3" t="s">
        <v>27</v>
      </c>
      <c r="V32" s="1">
        <v>1</v>
      </c>
      <c r="W32" s="1">
        <v>2</v>
      </c>
      <c r="X32" s="1">
        <v>1</v>
      </c>
      <c r="Y32" s="1">
        <v>4</v>
      </c>
      <c r="Z32" s="1">
        <v>5</v>
      </c>
      <c r="AA32" s="1">
        <v>4</v>
      </c>
      <c r="AB32" s="1">
        <v>1</v>
      </c>
      <c r="AC32" s="1">
        <v>1</v>
      </c>
      <c r="AD32" s="1">
        <v>3</v>
      </c>
      <c r="AE32" s="1">
        <v>2</v>
      </c>
      <c r="AF32" s="1">
        <v>6</v>
      </c>
      <c r="AG32" s="1">
        <v>12</v>
      </c>
      <c r="AH32" s="1">
        <v>45</v>
      </c>
      <c r="AI32" s="1">
        <v>20</v>
      </c>
      <c r="AJ32" s="1">
        <v>5</v>
      </c>
      <c r="AK32" s="1">
        <v>40</v>
      </c>
      <c r="AL32" s="1">
        <v>20</v>
      </c>
      <c r="AM32" s="1">
        <v>40</v>
      </c>
      <c r="AN32" s="1">
        <v>20</v>
      </c>
      <c r="AO32">
        <f t="shared" si="1"/>
        <v>24.166666666666668</v>
      </c>
    </row>
    <row r="33" spans="1:41" x14ac:dyDescent="0.35">
      <c r="A33" s="2">
        <v>29</v>
      </c>
      <c r="B33" s="3" t="s">
        <v>29</v>
      </c>
      <c r="C33" s="1">
        <v>5</v>
      </c>
      <c r="D33" s="1">
        <v>3</v>
      </c>
      <c r="E33" s="1">
        <v>4</v>
      </c>
      <c r="F33" s="1">
        <v>2</v>
      </c>
      <c r="G33" s="1">
        <v>1</v>
      </c>
      <c r="H33" s="1">
        <v>5</v>
      </c>
      <c r="I33" s="1">
        <v>5</v>
      </c>
      <c r="J33" s="1">
        <v>2</v>
      </c>
      <c r="K33" s="1">
        <v>3</v>
      </c>
      <c r="L33" s="1">
        <v>3</v>
      </c>
      <c r="M33" s="1">
        <v>2</v>
      </c>
      <c r="N33" s="1">
        <v>3</v>
      </c>
      <c r="O33" s="1">
        <v>5</v>
      </c>
      <c r="P33" s="1">
        <v>6</v>
      </c>
      <c r="Q33" s="1">
        <v>4</v>
      </c>
      <c r="R33">
        <f t="shared" si="0"/>
        <v>3.5333333333333332</v>
      </c>
      <c r="T33" s="2">
        <v>28</v>
      </c>
      <c r="U33" s="3" t="s">
        <v>28</v>
      </c>
      <c r="V33" s="1">
        <v>1</v>
      </c>
      <c r="W33" s="1">
        <v>1</v>
      </c>
      <c r="X33" s="1">
        <v>3</v>
      </c>
      <c r="Y33" s="1">
        <v>5</v>
      </c>
      <c r="Z33" s="1">
        <v>2</v>
      </c>
      <c r="AA33" s="1">
        <v>2</v>
      </c>
      <c r="AB33" s="1">
        <v>4</v>
      </c>
      <c r="AC33" s="1">
        <v>2</v>
      </c>
      <c r="AD33" s="1">
        <v>4</v>
      </c>
      <c r="AE33" s="1">
        <v>1</v>
      </c>
      <c r="AF33" s="1">
        <v>9</v>
      </c>
      <c r="AG33" s="1">
        <v>14</v>
      </c>
      <c r="AH33" s="1">
        <v>57.5</v>
      </c>
      <c r="AI33" s="1">
        <v>40</v>
      </c>
      <c r="AJ33" s="1">
        <v>40</v>
      </c>
      <c r="AK33" s="1">
        <v>20</v>
      </c>
      <c r="AL33" s="1">
        <v>20</v>
      </c>
      <c r="AM33" s="1">
        <v>40</v>
      </c>
      <c r="AN33" s="1">
        <v>60</v>
      </c>
      <c r="AO33">
        <f t="shared" si="1"/>
        <v>36.666666666666664</v>
      </c>
    </row>
    <row r="34" spans="1:41" x14ac:dyDescent="0.35">
      <c r="A34" s="2">
        <v>30</v>
      </c>
      <c r="B34" s="3" t="s">
        <v>30</v>
      </c>
      <c r="C34" s="1">
        <v>2</v>
      </c>
      <c r="D34" s="1">
        <v>3</v>
      </c>
      <c r="E34" s="1">
        <v>3</v>
      </c>
      <c r="F34" s="1">
        <v>2</v>
      </c>
      <c r="G34" s="1">
        <v>2</v>
      </c>
      <c r="H34" s="1">
        <v>3</v>
      </c>
      <c r="I34" s="1">
        <v>2</v>
      </c>
      <c r="J34" s="1">
        <v>3</v>
      </c>
      <c r="K34" s="1">
        <v>3</v>
      </c>
      <c r="L34" s="1">
        <v>5</v>
      </c>
      <c r="M34" s="1">
        <v>3</v>
      </c>
      <c r="N34" s="1">
        <v>4</v>
      </c>
      <c r="O34" s="1">
        <v>2</v>
      </c>
      <c r="P34" s="1">
        <v>2</v>
      </c>
      <c r="Q34" s="1">
        <v>5</v>
      </c>
      <c r="R34">
        <f t="shared" si="0"/>
        <v>2.9333333333333331</v>
      </c>
      <c r="T34" s="2">
        <v>29</v>
      </c>
      <c r="U34" s="3" t="s">
        <v>29</v>
      </c>
      <c r="V34" s="1">
        <v>3</v>
      </c>
      <c r="W34" s="1">
        <v>1</v>
      </c>
      <c r="X34" s="1">
        <v>2</v>
      </c>
      <c r="Y34" s="1">
        <v>4</v>
      </c>
      <c r="Z34" s="1">
        <v>2</v>
      </c>
      <c r="AA34" s="1">
        <v>1</v>
      </c>
      <c r="AB34" s="1">
        <v>2</v>
      </c>
      <c r="AC34" s="1">
        <v>1</v>
      </c>
      <c r="AD34" s="1">
        <v>1</v>
      </c>
      <c r="AE34" s="1">
        <v>3</v>
      </c>
      <c r="AF34" s="1">
        <v>5</v>
      </c>
      <c r="AG34" s="1">
        <v>15</v>
      </c>
      <c r="AH34" s="1">
        <v>50</v>
      </c>
      <c r="AI34" s="1">
        <v>5</v>
      </c>
      <c r="AJ34" s="1">
        <v>20</v>
      </c>
      <c r="AK34" s="1">
        <v>5</v>
      </c>
      <c r="AL34" s="1">
        <v>20</v>
      </c>
      <c r="AM34" s="1">
        <v>40</v>
      </c>
      <c r="AN34" s="1">
        <v>40</v>
      </c>
      <c r="AO34">
        <f t="shared" si="1"/>
        <v>21.666666666666668</v>
      </c>
    </row>
    <row r="35" spans="1:41" x14ac:dyDescent="0.35">
      <c r="A35" s="2">
        <v>31</v>
      </c>
      <c r="B35" s="3" t="s">
        <v>31</v>
      </c>
      <c r="C35" s="1">
        <v>2</v>
      </c>
      <c r="D35" s="1">
        <v>3</v>
      </c>
      <c r="E35" s="1">
        <v>3</v>
      </c>
      <c r="F35" s="1">
        <v>3</v>
      </c>
      <c r="G35" s="1">
        <v>5</v>
      </c>
      <c r="H35" s="1">
        <v>6</v>
      </c>
      <c r="I35" s="1">
        <v>2</v>
      </c>
      <c r="J35" s="1">
        <v>4</v>
      </c>
      <c r="K35" s="1">
        <v>4</v>
      </c>
      <c r="L35" s="1">
        <v>3</v>
      </c>
      <c r="M35" s="1">
        <v>3</v>
      </c>
      <c r="N35" s="1">
        <v>3</v>
      </c>
      <c r="O35" s="1">
        <v>2</v>
      </c>
      <c r="P35" s="1">
        <v>2</v>
      </c>
      <c r="Q35" s="1">
        <v>6</v>
      </c>
      <c r="R35">
        <f t="shared" si="0"/>
        <v>3.4</v>
      </c>
      <c r="T35" s="2">
        <v>30</v>
      </c>
      <c r="U35" s="3" t="s">
        <v>30</v>
      </c>
      <c r="V35" s="1">
        <v>5</v>
      </c>
      <c r="W35" s="1">
        <v>2</v>
      </c>
      <c r="X35" s="1">
        <v>2</v>
      </c>
      <c r="Y35" s="1">
        <v>1</v>
      </c>
      <c r="Z35" s="1">
        <v>2</v>
      </c>
      <c r="AA35" s="1">
        <v>1</v>
      </c>
      <c r="AB35" s="1">
        <v>2</v>
      </c>
      <c r="AC35" s="1">
        <v>1</v>
      </c>
      <c r="AD35" s="1">
        <v>3</v>
      </c>
      <c r="AE35" s="1">
        <v>2</v>
      </c>
      <c r="AF35" s="1">
        <v>9</v>
      </c>
      <c r="AG35" s="1">
        <v>18</v>
      </c>
      <c r="AH35" s="1">
        <v>67.5</v>
      </c>
      <c r="AI35" s="1">
        <v>5</v>
      </c>
      <c r="AJ35" s="1">
        <v>20</v>
      </c>
      <c r="AK35" s="1">
        <v>5</v>
      </c>
      <c r="AL35" s="1">
        <v>40</v>
      </c>
      <c r="AM35" s="1">
        <v>20</v>
      </c>
      <c r="AN35" s="1">
        <v>85</v>
      </c>
      <c r="AO35">
        <f t="shared" si="1"/>
        <v>29.166666666666668</v>
      </c>
    </row>
    <row r="36" spans="1:41" x14ac:dyDescent="0.35">
      <c r="A36" s="2">
        <v>32</v>
      </c>
      <c r="B36" s="3" t="s">
        <v>32</v>
      </c>
      <c r="C36" s="1">
        <v>3</v>
      </c>
      <c r="D36" s="1">
        <v>4</v>
      </c>
      <c r="E36" s="1">
        <v>2</v>
      </c>
      <c r="F36" s="1">
        <v>4</v>
      </c>
      <c r="G36" s="1">
        <v>2</v>
      </c>
      <c r="H36" s="1">
        <v>4</v>
      </c>
      <c r="I36" s="1">
        <v>3</v>
      </c>
      <c r="J36" s="1">
        <v>2</v>
      </c>
      <c r="K36" s="1">
        <v>3</v>
      </c>
      <c r="L36" s="1">
        <v>4</v>
      </c>
      <c r="M36" s="1">
        <v>4</v>
      </c>
      <c r="N36" s="1">
        <v>4</v>
      </c>
      <c r="O36" s="1">
        <v>7</v>
      </c>
      <c r="P36" s="1">
        <v>3</v>
      </c>
      <c r="Q36" s="1">
        <v>2</v>
      </c>
      <c r="R36">
        <f t="shared" si="0"/>
        <v>3.4</v>
      </c>
      <c r="T36" s="2">
        <v>31</v>
      </c>
      <c r="U36" s="3" t="s">
        <v>31</v>
      </c>
      <c r="V36" s="1">
        <v>1</v>
      </c>
      <c r="W36" s="1">
        <v>1</v>
      </c>
      <c r="X36" s="1">
        <v>2</v>
      </c>
      <c r="Y36" s="1">
        <v>3</v>
      </c>
      <c r="Z36" s="1">
        <v>2</v>
      </c>
      <c r="AA36" s="1">
        <v>4</v>
      </c>
      <c r="AB36" s="1">
        <v>4</v>
      </c>
      <c r="AC36" s="1">
        <v>2</v>
      </c>
      <c r="AD36" s="1">
        <v>3</v>
      </c>
      <c r="AE36" s="1">
        <v>4</v>
      </c>
      <c r="AF36" s="1">
        <v>7</v>
      </c>
      <c r="AG36" s="1">
        <v>11</v>
      </c>
      <c r="AH36" s="1">
        <v>45</v>
      </c>
      <c r="AI36" s="1">
        <v>40</v>
      </c>
      <c r="AJ36" s="1">
        <v>20</v>
      </c>
      <c r="AK36" s="1">
        <v>20</v>
      </c>
      <c r="AL36" s="1">
        <v>40</v>
      </c>
      <c r="AM36" s="1">
        <v>40</v>
      </c>
      <c r="AN36" s="1">
        <v>60</v>
      </c>
      <c r="AO36">
        <f t="shared" si="1"/>
        <v>36.666666666666664</v>
      </c>
    </row>
    <row r="37" spans="1:41" x14ac:dyDescent="0.35">
      <c r="A37" s="2">
        <f>33</f>
        <v>33</v>
      </c>
      <c r="B37" s="3" t="s">
        <v>33</v>
      </c>
      <c r="C37" s="1">
        <v>4</v>
      </c>
      <c r="D37" s="1">
        <v>5</v>
      </c>
      <c r="E37" s="1">
        <v>2</v>
      </c>
      <c r="F37" s="1">
        <v>2</v>
      </c>
      <c r="G37" s="1">
        <v>2</v>
      </c>
      <c r="H37" s="1">
        <v>3</v>
      </c>
      <c r="I37" s="1">
        <v>3</v>
      </c>
      <c r="J37" s="1">
        <v>3</v>
      </c>
      <c r="K37" s="1">
        <v>2</v>
      </c>
      <c r="L37" s="1">
        <v>4</v>
      </c>
      <c r="M37" s="1">
        <v>3</v>
      </c>
      <c r="N37" s="1">
        <v>4</v>
      </c>
      <c r="O37" s="1">
        <v>3</v>
      </c>
      <c r="P37" s="1">
        <v>3</v>
      </c>
      <c r="Q37" s="1">
        <v>1</v>
      </c>
      <c r="R37">
        <f t="shared" si="0"/>
        <v>2.9333333333333331</v>
      </c>
      <c r="T37" s="2">
        <v>32</v>
      </c>
      <c r="U37" s="3" t="s">
        <v>32</v>
      </c>
      <c r="V37" s="1">
        <v>2</v>
      </c>
      <c r="W37" s="1">
        <v>1</v>
      </c>
      <c r="X37" s="1">
        <v>4</v>
      </c>
      <c r="Y37" s="1">
        <v>1</v>
      </c>
      <c r="Z37" s="1">
        <v>3</v>
      </c>
      <c r="AA37" s="1">
        <v>2</v>
      </c>
      <c r="AB37" s="1">
        <v>2</v>
      </c>
      <c r="AC37" s="1">
        <v>3</v>
      </c>
      <c r="AD37" s="1">
        <v>1</v>
      </c>
      <c r="AE37" s="1">
        <v>5</v>
      </c>
      <c r="AF37" s="1">
        <v>7</v>
      </c>
      <c r="AG37" s="1">
        <v>13</v>
      </c>
      <c r="AH37" s="1">
        <v>50</v>
      </c>
      <c r="AI37" s="1">
        <v>5</v>
      </c>
      <c r="AJ37" s="1">
        <v>20</v>
      </c>
      <c r="AK37" s="1">
        <v>40</v>
      </c>
      <c r="AL37" s="1">
        <v>5</v>
      </c>
      <c r="AM37" s="1">
        <v>5</v>
      </c>
      <c r="AN37" s="1">
        <v>60</v>
      </c>
      <c r="AO37">
        <f t="shared" si="1"/>
        <v>22.5</v>
      </c>
    </row>
    <row r="38" spans="1:41" x14ac:dyDescent="0.35">
      <c r="A38" s="2">
        <v>34</v>
      </c>
      <c r="B38" s="3" t="s">
        <v>34</v>
      </c>
      <c r="C38" s="1">
        <v>1</v>
      </c>
      <c r="D38" s="1">
        <v>5</v>
      </c>
      <c r="E38" s="1">
        <v>4</v>
      </c>
      <c r="F38" s="1">
        <v>2</v>
      </c>
      <c r="G38" s="1">
        <v>3</v>
      </c>
      <c r="H38" s="1">
        <v>5</v>
      </c>
      <c r="I38" s="1">
        <v>4</v>
      </c>
      <c r="J38" s="1">
        <v>3</v>
      </c>
      <c r="K38" s="1">
        <v>2</v>
      </c>
      <c r="L38" s="1">
        <v>3</v>
      </c>
      <c r="M38" s="1">
        <v>5</v>
      </c>
      <c r="N38" s="1">
        <v>7</v>
      </c>
      <c r="O38" s="1">
        <v>2</v>
      </c>
      <c r="P38" s="1">
        <v>4</v>
      </c>
      <c r="Q38" s="1">
        <v>2</v>
      </c>
      <c r="R38">
        <f t="shared" si="0"/>
        <v>3.4666666666666668</v>
      </c>
      <c r="T38" s="2">
        <f>33</f>
        <v>33</v>
      </c>
      <c r="U38" s="3" t="s">
        <v>33</v>
      </c>
      <c r="V38" s="1">
        <v>3</v>
      </c>
      <c r="W38" s="1">
        <v>2</v>
      </c>
      <c r="X38" s="1">
        <v>3</v>
      </c>
      <c r="Y38" s="1">
        <v>2</v>
      </c>
      <c r="Z38" s="1">
        <v>4</v>
      </c>
      <c r="AA38" s="1">
        <v>3</v>
      </c>
      <c r="AB38" s="1">
        <v>2</v>
      </c>
      <c r="AC38" s="1">
        <v>3</v>
      </c>
      <c r="AD38" s="1">
        <v>2</v>
      </c>
      <c r="AE38" s="1">
        <v>3</v>
      </c>
      <c r="AF38" s="1">
        <v>9</v>
      </c>
      <c r="AG38" s="1">
        <v>12</v>
      </c>
      <c r="AH38" s="1">
        <v>52.5</v>
      </c>
      <c r="AI38" s="1">
        <v>40</v>
      </c>
      <c r="AJ38" s="1">
        <v>40</v>
      </c>
      <c r="AK38" s="1">
        <v>60</v>
      </c>
      <c r="AL38" s="1">
        <v>40</v>
      </c>
      <c r="AM38" s="1">
        <v>60</v>
      </c>
      <c r="AN38" s="1">
        <v>60</v>
      </c>
      <c r="AO38">
        <f t="shared" si="1"/>
        <v>50</v>
      </c>
    </row>
    <row r="39" spans="1:41" x14ac:dyDescent="0.35">
      <c r="A39" s="2">
        <v>35</v>
      </c>
      <c r="B39" s="3" t="s">
        <v>35</v>
      </c>
      <c r="C39" s="1">
        <v>2</v>
      </c>
      <c r="D39" s="1">
        <v>4</v>
      </c>
      <c r="E39" s="1">
        <v>2</v>
      </c>
      <c r="F39" s="1">
        <v>3</v>
      </c>
      <c r="G39" s="1">
        <v>3</v>
      </c>
      <c r="H39" s="1">
        <v>3</v>
      </c>
      <c r="I39" s="1">
        <v>3</v>
      </c>
      <c r="J39" s="1">
        <v>3</v>
      </c>
      <c r="K39" s="1">
        <v>2</v>
      </c>
      <c r="L39" s="1">
        <v>4</v>
      </c>
      <c r="M39" s="1">
        <v>3</v>
      </c>
      <c r="N39" s="1">
        <v>4</v>
      </c>
      <c r="O39" s="1">
        <v>3</v>
      </c>
      <c r="P39" s="1">
        <v>3</v>
      </c>
      <c r="Q39" s="1">
        <v>4</v>
      </c>
      <c r="R39">
        <f t="shared" si="0"/>
        <v>3.0666666666666669</v>
      </c>
      <c r="T39" s="2">
        <v>34</v>
      </c>
      <c r="U39" s="3" t="s">
        <v>34</v>
      </c>
      <c r="V39" s="1">
        <v>1</v>
      </c>
      <c r="W39" s="1">
        <v>2</v>
      </c>
      <c r="X39" s="1">
        <v>1</v>
      </c>
      <c r="Y39" s="1">
        <v>2</v>
      </c>
      <c r="Z39" s="1">
        <v>3</v>
      </c>
      <c r="AA39" s="1">
        <v>1</v>
      </c>
      <c r="AB39" s="1">
        <v>2</v>
      </c>
      <c r="AC39" s="1">
        <v>3</v>
      </c>
      <c r="AD39" s="1">
        <v>4</v>
      </c>
      <c r="AE39" s="1">
        <v>1</v>
      </c>
      <c r="AF39" s="1">
        <v>6</v>
      </c>
      <c r="AG39" s="1">
        <v>16</v>
      </c>
      <c r="AH39" s="1">
        <v>55</v>
      </c>
      <c r="AI39" s="1">
        <v>5</v>
      </c>
      <c r="AJ39" s="1">
        <v>20</v>
      </c>
      <c r="AK39" s="1">
        <v>20</v>
      </c>
      <c r="AL39" s="1">
        <v>5</v>
      </c>
      <c r="AM39" s="1">
        <v>60</v>
      </c>
      <c r="AN39" s="1">
        <v>40</v>
      </c>
      <c r="AO39">
        <f t="shared" si="1"/>
        <v>25</v>
      </c>
    </row>
    <row r="40" spans="1:41" x14ac:dyDescent="0.35">
      <c r="A40" s="2">
        <v>36</v>
      </c>
      <c r="B40" s="3" t="s">
        <v>36</v>
      </c>
      <c r="C40" s="1">
        <v>3</v>
      </c>
      <c r="D40" s="1">
        <v>3</v>
      </c>
      <c r="E40" s="1">
        <v>2</v>
      </c>
      <c r="F40" s="1">
        <v>4</v>
      </c>
      <c r="G40" s="1">
        <v>4</v>
      </c>
      <c r="H40" s="1">
        <v>7</v>
      </c>
      <c r="I40" s="1">
        <v>5</v>
      </c>
      <c r="J40" s="1">
        <v>2</v>
      </c>
      <c r="K40" s="1">
        <v>3</v>
      </c>
      <c r="L40" s="1">
        <v>4</v>
      </c>
      <c r="M40" s="1">
        <v>4</v>
      </c>
      <c r="N40" s="1">
        <v>3</v>
      </c>
      <c r="O40" s="1">
        <v>5</v>
      </c>
      <c r="P40" s="1">
        <v>5</v>
      </c>
      <c r="Q40" s="1">
        <v>3</v>
      </c>
      <c r="R40">
        <f t="shared" si="0"/>
        <v>3.8</v>
      </c>
      <c r="T40" s="2">
        <v>35</v>
      </c>
      <c r="U40" s="3" t="s">
        <v>35</v>
      </c>
      <c r="V40" s="1">
        <v>5</v>
      </c>
      <c r="W40" s="1">
        <v>1</v>
      </c>
      <c r="X40" s="1">
        <v>1</v>
      </c>
      <c r="Y40" s="1">
        <v>2</v>
      </c>
      <c r="Z40" s="1">
        <v>1</v>
      </c>
      <c r="AA40" s="1">
        <v>3</v>
      </c>
      <c r="AB40" s="1">
        <v>2</v>
      </c>
      <c r="AC40" s="1">
        <v>1</v>
      </c>
      <c r="AD40" s="1">
        <v>4</v>
      </c>
      <c r="AE40" s="1">
        <v>1</v>
      </c>
      <c r="AF40" s="1">
        <v>8</v>
      </c>
      <c r="AG40" s="1">
        <v>17</v>
      </c>
      <c r="AH40" s="1">
        <v>62.5</v>
      </c>
      <c r="AI40" s="1">
        <v>40</v>
      </c>
      <c r="AJ40" s="1">
        <v>40</v>
      </c>
      <c r="AK40" s="1">
        <v>20</v>
      </c>
      <c r="AL40" s="1">
        <v>85</v>
      </c>
      <c r="AM40" s="1">
        <v>85</v>
      </c>
      <c r="AN40" s="1">
        <v>40</v>
      </c>
      <c r="AO40">
        <f t="shared" si="1"/>
        <v>51.666666666666664</v>
      </c>
    </row>
    <row r="41" spans="1:41" x14ac:dyDescent="0.35">
      <c r="A41" s="2">
        <v>37</v>
      </c>
      <c r="B41" s="3" t="s">
        <v>37</v>
      </c>
      <c r="C41" s="1">
        <v>3</v>
      </c>
      <c r="D41" s="1">
        <v>4</v>
      </c>
      <c r="E41" s="1">
        <v>2</v>
      </c>
      <c r="F41" s="1">
        <v>4</v>
      </c>
      <c r="G41" s="1">
        <v>3</v>
      </c>
      <c r="H41" s="1">
        <v>5</v>
      </c>
      <c r="I41" s="1">
        <v>3</v>
      </c>
      <c r="J41" s="1">
        <v>2</v>
      </c>
      <c r="K41" s="1">
        <v>4</v>
      </c>
      <c r="L41" s="1">
        <v>3</v>
      </c>
      <c r="M41" s="1">
        <v>4</v>
      </c>
      <c r="N41" s="1">
        <v>5</v>
      </c>
      <c r="O41" s="1">
        <v>6</v>
      </c>
      <c r="P41" s="1">
        <v>3</v>
      </c>
      <c r="Q41" s="1">
        <v>4</v>
      </c>
      <c r="R41">
        <f t="shared" si="0"/>
        <v>3.6666666666666665</v>
      </c>
      <c r="T41" s="2">
        <v>36</v>
      </c>
      <c r="U41" s="3" t="s">
        <v>36</v>
      </c>
      <c r="V41" s="1">
        <v>2</v>
      </c>
      <c r="W41" s="1">
        <v>3</v>
      </c>
      <c r="X41" s="1">
        <v>4</v>
      </c>
      <c r="Y41" s="1">
        <v>1</v>
      </c>
      <c r="Z41" s="1">
        <v>3</v>
      </c>
      <c r="AA41" s="1">
        <v>1</v>
      </c>
      <c r="AB41" s="1">
        <v>3</v>
      </c>
      <c r="AC41" s="1">
        <v>2</v>
      </c>
      <c r="AD41" s="1">
        <v>4</v>
      </c>
      <c r="AE41" s="1">
        <v>1</v>
      </c>
      <c r="AF41" s="1">
        <v>11</v>
      </c>
      <c r="AG41" s="1">
        <v>17</v>
      </c>
      <c r="AH41" s="1">
        <v>70</v>
      </c>
      <c r="AI41" s="1">
        <v>60</v>
      </c>
      <c r="AJ41" s="1">
        <v>20</v>
      </c>
      <c r="AK41" s="1">
        <v>60</v>
      </c>
      <c r="AL41" s="1">
        <v>40</v>
      </c>
      <c r="AM41" s="1">
        <v>60</v>
      </c>
      <c r="AN41" s="1">
        <v>40</v>
      </c>
      <c r="AO41">
        <f t="shared" si="1"/>
        <v>46.666666666666664</v>
      </c>
    </row>
    <row r="42" spans="1:41" x14ac:dyDescent="0.35">
      <c r="A42" s="2">
        <v>38</v>
      </c>
      <c r="B42" s="3" t="s">
        <v>38</v>
      </c>
      <c r="C42" s="1">
        <v>5</v>
      </c>
      <c r="D42" s="1">
        <v>3</v>
      </c>
      <c r="E42" s="1">
        <v>3</v>
      </c>
      <c r="F42" s="1">
        <v>3</v>
      </c>
      <c r="G42" s="1">
        <v>5</v>
      </c>
      <c r="H42" s="1">
        <v>4</v>
      </c>
      <c r="I42" s="1">
        <v>4</v>
      </c>
      <c r="J42" s="1">
        <v>3</v>
      </c>
      <c r="K42" s="1">
        <v>4</v>
      </c>
      <c r="L42" s="1">
        <v>2</v>
      </c>
      <c r="M42" s="1">
        <v>2</v>
      </c>
      <c r="N42" s="1">
        <v>3</v>
      </c>
      <c r="O42" s="1">
        <v>4</v>
      </c>
      <c r="P42" s="1">
        <v>4</v>
      </c>
      <c r="Q42" s="1">
        <v>3</v>
      </c>
      <c r="R42">
        <f t="shared" si="0"/>
        <v>3.4666666666666668</v>
      </c>
      <c r="T42" s="2">
        <v>37</v>
      </c>
      <c r="U42" s="3" t="s">
        <v>37</v>
      </c>
      <c r="V42" s="1">
        <v>3</v>
      </c>
      <c r="W42" s="1">
        <v>4</v>
      </c>
      <c r="X42" s="1">
        <v>3</v>
      </c>
      <c r="Y42" s="1">
        <v>2</v>
      </c>
      <c r="Z42" s="1">
        <v>4</v>
      </c>
      <c r="AA42" s="1">
        <v>2</v>
      </c>
      <c r="AB42" s="1">
        <v>4</v>
      </c>
      <c r="AC42" s="1">
        <v>2</v>
      </c>
      <c r="AD42" s="1">
        <v>3</v>
      </c>
      <c r="AE42" s="1">
        <v>3</v>
      </c>
      <c r="AF42" s="1">
        <v>12</v>
      </c>
      <c r="AG42" s="1">
        <v>12</v>
      </c>
      <c r="AH42" s="1">
        <v>60</v>
      </c>
      <c r="AI42" s="1">
        <v>40</v>
      </c>
      <c r="AJ42" s="1">
        <v>20</v>
      </c>
      <c r="AK42" s="1">
        <v>40</v>
      </c>
      <c r="AL42" s="1">
        <v>20</v>
      </c>
      <c r="AM42" s="1">
        <v>40</v>
      </c>
      <c r="AN42" s="1">
        <v>60</v>
      </c>
      <c r="AO42">
        <f t="shared" si="1"/>
        <v>36.666666666666664</v>
      </c>
    </row>
    <row r="43" spans="1:41" x14ac:dyDescent="0.35">
      <c r="A43" s="2">
        <v>39</v>
      </c>
      <c r="B43" s="3" t="s">
        <v>39</v>
      </c>
      <c r="C43" s="1">
        <v>4</v>
      </c>
      <c r="D43" s="1">
        <v>5</v>
      </c>
      <c r="E43" s="1">
        <v>3</v>
      </c>
      <c r="F43" s="1">
        <v>3</v>
      </c>
      <c r="G43" s="1">
        <v>3</v>
      </c>
      <c r="H43" s="1">
        <v>5</v>
      </c>
      <c r="I43" s="1">
        <v>4</v>
      </c>
      <c r="J43" s="1">
        <v>4</v>
      </c>
      <c r="K43" s="1">
        <v>4</v>
      </c>
      <c r="L43" s="1">
        <v>3</v>
      </c>
      <c r="M43" s="1">
        <v>5</v>
      </c>
      <c r="N43" s="1">
        <v>4</v>
      </c>
      <c r="O43" s="1">
        <v>5</v>
      </c>
      <c r="P43" s="1">
        <v>4</v>
      </c>
      <c r="Q43" s="1">
        <v>5</v>
      </c>
      <c r="R43">
        <f t="shared" si="0"/>
        <v>4.0666666666666664</v>
      </c>
      <c r="T43" s="2">
        <v>38</v>
      </c>
      <c r="U43" s="3" t="s">
        <v>38</v>
      </c>
      <c r="V43" s="1">
        <v>2</v>
      </c>
      <c r="W43" s="1">
        <v>3</v>
      </c>
      <c r="X43" s="1">
        <v>2</v>
      </c>
      <c r="Y43" s="1">
        <v>2</v>
      </c>
      <c r="Z43" s="1">
        <v>3</v>
      </c>
      <c r="AA43" s="1">
        <v>3</v>
      </c>
      <c r="AB43" s="1">
        <v>2</v>
      </c>
      <c r="AC43" s="1">
        <v>3</v>
      </c>
      <c r="AD43" s="1">
        <v>3</v>
      </c>
      <c r="AE43" s="1">
        <v>3</v>
      </c>
      <c r="AF43" s="1">
        <v>7</v>
      </c>
      <c r="AG43" s="1">
        <v>11</v>
      </c>
      <c r="AH43" s="1">
        <v>45</v>
      </c>
      <c r="AI43" s="1">
        <v>5</v>
      </c>
      <c r="AJ43" s="1">
        <v>20</v>
      </c>
      <c r="AK43" s="1">
        <v>20</v>
      </c>
      <c r="AL43" s="1">
        <v>40</v>
      </c>
      <c r="AM43" s="1">
        <v>20</v>
      </c>
      <c r="AN43" s="6">
        <v>5</v>
      </c>
      <c r="AO43">
        <f t="shared" si="1"/>
        <v>18.333333333333332</v>
      </c>
    </row>
    <row r="44" spans="1:41" x14ac:dyDescent="0.35">
      <c r="A44" s="2">
        <v>40</v>
      </c>
      <c r="B44" s="3" t="s">
        <v>40</v>
      </c>
      <c r="C44" s="1">
        <v>5</v>
      </c>
      <c r="D44" s="1">
        <v>5</v>
      </c>
      <c r="E44" s="1">
        <v>3</v>
      </c>
      <c r="F44" s="1">
        <v>3</v>
      </c>
      <c r="G44" s="1">
        <v>4</v>
      </c>
      <c r="H44" s="1">
        <v>2</v>
      </c>
      <c r="I44" s="1">
        <v>3</v>
      </c>
      <c r="J44" s="1">
        <v>2</v>
      </c>
      <c r="K44" s="1">
        <v>3</v>
      </c>
      <c r="L44" s="1">
        <v>4</v>
      </c>
      <c r="M44" s="1">
        <v>1</v>
      </c>
      <c r="N44" s="1">
        <v>4</v>
      </c>
      <c r="O44" s="1">
        <v>1</v>
      </c>
      <c r="P44" s="1">
        <v>2</v>
      </c>
      <c r="Q44" s="1">
        <v>3</v>
      </c>
      <c r="R44">
        <f t="shared" si="0"/>
        <v>3</v>
      </c>
      <c r="T44" s="2">
        <v>39</v>
      </c>
      <c r="U44" s="3" t="s">
        <v>39</v>
      </c>
      <c r="V44" s="1">
        <v>1</v>
      </c>
      <c r="W44" s="1">
        <v>2</v>
      </c>
      <c r="X44" s="1">
        <v>3</v>
      </c>
      <c r="Y44" s="1">
        <v>2</v>
      </c>
      <c r="Z44" s="1">
        <v>2</v>
      </c>
      <c r="AA44" s="1">
        <v>3</v>
      </c>
      <c r="AB44" s="1">
        <v>1</v>
      </c>
      <c r="AC44" s="1">
        <v>2</v>
      </c>
      <c r="AD44" s="1">
        <v>3</v>
      </c>
      <c r="AE44" s="1">
        <v>1</v>
      </c>
      <c r="AF44" s="1">
        <v>5</v>
      </c>
      <c r="AG44" s="1">
        <v>15</v>
      </c>
      <c r="AH44" s="1">
        <v>50</v>
      </c>
      <c r="AI44" s="1">
        <v>40</v>
      </c>
      <c r="AJ44" s="1">
        <v>20</v>
      </c>
      <c r="AK44" s="1">
        <v>40</v>
      </c>
      <c r="AL44" s="1">
        <v>60</v>
      </c>
      <c r="AM44" s="1">
        <v>40</v>
      </c>
      <c r="AN44" s="1">
        <v>20</v>
      </c>
      <c r="AO44">
        <f t="shared" si="1"/>
        <v>36.666666666666664</v>
      </c>
    </row>
    <row r="45" spans="1:41" x14ac:dyDescent="0.35">
      <c r="A45" s="2">
        <v>41</v>
      </c>
      <c r="B45" s="3" t="s">
        <v>41</v>
      </c>
      <c r="C45" s="1">
        <v>2</v>
      </c>
      <c r="D45" s="1">
        <v>5</v>
      </c>
      <c r="E45" s="1">
        <v>4</v>
      </c>
      <c r="F45" s="1">
        <v>4</v>
      </c>
      <c r="G45" s="1">
        <v>4</v>
      </c>
      <c r="H45" s="1">
        <v>1</v>
      </c>
      <c r="I45" s="1">
        <v>3</v>
      </c>
      <c r="J45" s="1">
        <v>2</v>
      </c>
      <c r="K45" s="1">
        <v>1</v>
      </c>
      <c r="L45" s="1">
        <v>2</v>
      </c>
      <c r="M45" s="1">
        <v>1</v>
      </c>
      <c r="N45" s="1">
        <v>5</v>
      </c>
      <c r="O45" s="1">
        <v>1</v>
      </c>
      <c r="P45" s="1">
        <v>5</v>
      </c>
      <c r="Q45" s="1">
        <v>7</v>
      </c>
      <c r="R45">
        <f t="shared" si="0"/>
        <v>3.1333333333333333</v>
      </c>
      <c r="T45" s="2">
        <v>40</v>
      </c>
      <c r="U45" s="3" t="s">
        <v>40</v>
      </c>
      <c r="V45" s="1">
        <v>3</v>
      </c>
      <c r="W45" s="1">
        <v>4</v>
      </c>
      <c r="X45" s="1">
        <v>3</v>
      </c>
      <c r="Y45" s="1">
        <v>4</v>
      </c>
      <c r="Z45" s="1">
        <v>3</v>
      </c>
      <c r="AA45" s="1">
        <v>2</v>
      </c>
      <c r="AB45" s="1">
        <v>2</v>
      </c>
      <c r="AC45" s="1">
        <v>3</v>
      </c>
      <c r="AD45" s="1">
        <v>2</v>
      </c>
      <c r="AE45" s="1">
        <v>3</v>
      </c>
      <c r="AF45" s="1">
        <v>8</v>
      </c>
      <c r="AG45" s="1">
        <v>9</v>
      </c>
      <c r="AH45" s="1">
        <v>42.5</v>
      </c>
      <c r="AI45" s="1">
        <v>60</v>
      </c>
      <c r="AJ45" s="1">
        <v>85</v>
      </c>
      <c r="AK45" s="1">
        <v>60</v>
      </c>
      <c r="AL45" s="1">
        <v>60</v>
      </c>
      <c r="AM45" s="1">
        <v>85</v>
      </c>
      <c r="AN45" s="1">
        <v>60</v>
      </c>
      <c r="AO45">
        <f t="shared" si="1"/>
        <v>68.333333333333329</v>
      </c>
    </row>
    <row r="46" spans="1:41" x14ac:dyDescent="0.35">
      <c r="A46" s="2">
        <v>42</v>
      </c>
      <c r="B46" s="3" t="s">
        <v>42</v>
      </c>
      <c r="C46" s="1">
        <v>1</v>
      </c>
      <c r="D46" s="1">
        <v>3</v>
      </c>
      <c r="E46" s="1">
        <v>4</v>
      </c>
      <c r="F46" s="1">
        <v>3</v>
      </c>
      <c r="G46" s="1">
        <v>3</v>
      </c>
      <c r="H46" s="1">
        <v>5</v>
      </c>
      <c r="I46" s="1">
        <v>3</v>
      </c>
      <c r="J46" s="1">
        <v>3</v>
      </c>
      <c r="K46" s="1">
        <v>6</v>
      </c>
      <c r="L46" s="1">
        <v>4</v>
      </c>
      <c r="M46" s="1">
        <v>4</v>
      </c>
      <c r="N46" s="1">
        <v>3</v>
      </c>
      <c r="O46" s="1">
        <v>4</v>
      </c>
      <c r="P46" s="1">
        <v>1</v>
      </c>
      <c r="Q46" s="1">
        <v>5</v>
      </c>
      <c r="R46">
        <f t="shared" si="0"/>
        <v>3.4666666666666668</v>
      </c>
      <c r="T46" s="2">
        <v>41</v>
      </c>
      <c r="U46" s="3" t="s">
        <v>41</v>
      </c>
      <c r="V46">
        <v>2</v>
      </c>
      <c r="W46" s="1">
        <v>1</v>
      </c>
      <c r="X46" s="1">
        <v>3</v>
      </c>
      <c r="Y46" s="1">
        <v>2</v>
      </c>
      <c r="Z46" s="1">
        <v>2</v>
      </c>
      <c r="AA46" s="1">
        <v>3</v>
      </c>
      <c r="AB46" s="1">
        <v>1</v>
      </c>
      <c r="AC46" s="1">
        <v>3</v>
      </c>
      <c r="AD46" s="1">
        <v>1</v>
      </c>
      <c r="AE46" s="1">
        <v>3</v>
      </c>
      <c r="AF46" s="1">
        <v>4</v>
      </c>
      <c r="AG46" s="1">
        <v>13</v>
      </c>
      <c r="AH46" s="1">
        <v>42.5</v>
      </c>
      <c r="AI46" s="1">
        <v>60</v>
      </c>
      <c r="AJ46" s="1">
        <v>20</v>
      </c>
      <c r="AK46" s="1">
        <v>40</v>
      </c>
      <c r="AL46" s="1">
        <v>20</v>
      </c>
      <c r="AM46" s="1">
        <v>40</v>
      </c>
      <c r="AN46" s="1">
        <v>5</v>
      </c>
      <c r="AO46">
        <f t="shared" si="1"/>
        <v>30.833333333333332</v>
      </c>
    </row>
    <row r="47" spans="1:41" x14ac:dyDescent="0.35">
      <c r="A47" s="2">
        <v>43</v>
      </c>
      <c r="B47" s="3" t="s">
        <v>43</v>
      </c>
      <c r="C47" s="1">
        <v>5</v>
      </c>
      <c r="D47" s="1">
        <v>4</v>
      </c>
      <c r="E47" s="1">
        <v>3</v>
      </c>
      <c r="F47" s="1">
        <v>2</v>
      </c>
      <c r="G47" s="1">
        <v>3</v>
      </c>
      <c r="H47" s="1">
        <v>2</v>
      </c>
      <c r="I47" s="1">
        <v>5</v>
      </c>
      <c r="J47" s="1">
        <v>4</v>
      </c>
      <c r="K47" s="1">
        <v>5</v>
      </c>
      <c r="L47" s="1">
        <v>2</v>
      </c>
      <c r="M47" s="1">
        <v>4</v>
      </c>
      <c r="N47" s="1">
        <v>6</v>
      </c>
      <c r="O47" s="1">
        <v>4</v>
      </c>
      <c r="P47" s="1">
        <v>1</v>
      </c>
      <c r="Q47" s="1">
        <v>4</v>
      </c>
      <c r="R47">
        <f t="shared" si="0"/>
        <v>3.6</v>
      </c>
      <c r="T47" s="2">
        <v>42</v>
      </c>
      <c r="U47" s="3" t="s">
        <v>42</v>
      </c>
      <c r="V47" s="1">
        <v>3</v>
      </c>
      <c r="W47" s="1">
        <v>3</v>
      </c>
      <c r="X47" s="1">
        <v>2</v>
      </c>
      <c r="Y47" s="1">
        <v>3</v>
      </c>
      <c r="Z47" s="1">
        <v>3</v>
      </c>
      <c r="AA47" s="1">
        <v>3</v>
      </c>
      <c r="AB47" s="1">
        <v>3</v>
      </c>
      <c r="AC47" s="1">
        <v>2</v>
      </c>
      <c r="AD47" s="1">
        <v>3</v>
      </c>
      <c r="AE47" s="1">
        <v>3</v>
      </c>
      <c r="AF47" s="1">
        <v>9</v>
      </c>
      <c r="AG47" s="1">
        <v>11</v>
      </c>
      <c r="AH47" s="1">
        <v>50</v>
      </c>
      <c r="AI47" s="1">
        <v>20</v>
      </c>
      <c r="AJ47" s="1">
        <v>20</v>
      </c>
      <c r="AK47" s="1">
        <v>20</v>
      </c>
      <c r="AL47" s="1">
        <v>40</v>
      </c>
      <c r="AM47" s="1">
        <v>40</v>
      </c>
      <c r="AN47" s="1">
        <v>20</v>
      </c>
      <c r="AO47">
        <f t="shared" si="1"/>
        <v>26.666666666666668</v>
      </c>
    </row>
    <row r="48" spans="1:41" x14ac:dyDescent="0.35">
      <c r="A48" s="2">
        <v>44</v>
      </c>
      <c r="B48" s="3" t="s">
        <v>71</v>
      </c>
      <c r="C48" s="1">
        <v>2</v>
      </c>
      <c r="D48" s="1">
        <v>4</v>
      </c>
      <c r="E48" s="1">
        <v>4</v>
      </c>
      <c r="F48" s="1">
        <v>2</v>
      </c>
      <c r="G48" s="1">
        <v>3</v>
      </c>
      <c r="H48" s="1">
        <v>2</v>
      </c>
      <c r="I48" s="1">
        <v>5</v>
      </c>
      <c r="J48" s="1">
        <v>5</v>
      </c>
      <c r="K48" s="1">
        <v>5</v>
      </c>
      <c r="L48" s="1">
        <v>3</v>
      </c>
      <c r="M48" s="1">
        <v>5</v>
      </c>
      <c r="N48" s="1">
        <v>4</v>
      </c>
      <c r="O48" s="1">
        <v>5</v>
      </c>
      <c r="P48" s="1">
        <v>4</v>
      </c>
      <c r="Q48" s="1">
        <v>5</v>
      </c>
      <c r="R48">
        <f t="shared" si="0"/>
        <v>3.8666666666666667</v>
      </c>
      <c r="T48" s="2">
        <v>43</v>
      </c>
      <c r="U48" s="3" t="s">
        <v>43</v>
      </c>
      <c r="V48" s="1">
        <v>1</v>
      </c>
      <c r="W48" s="1">
        <v>2</v>
      </c>
      <c r="X48" s="1">
        <v>4</v>
      </c>
      <c r="Y48" s="1">
        <v>2</v>
      </c>
      <c r="Z48" s="1">
        <v>4</v>
      </c>
      <c r="AA48" s="1">
        <v>1</v>
      </c>
      <c r="AB48" s="1">
        <v>3</v>
      </c>
      <c r="AC48" s="1">
        <v>2</v>
      </c>
      <c r="AD48" s="1">
        <v>3</v>
      </c>
      <c r="AE48" s="1">
        <v>1</v>
      </c>
      <c r="AF48" s="1">
        <v>10</v>
      </c>
      <c r="AG48" s="1">
        <v>17</v>
      </c>
      <c r="AH48" s="1">
        <v>67.5</v>
      </c>
      <c r="AI48" s="1">
        <v>20</v>
      </c>
      <c r="AJ48" s="1">
        <v>40</v>
      </c>
      <c r="AK48" s="1">
        <v>20</v>
      </c>
      <c r="AL48" s="1">
        <v>40</v>
      </c>
      <c r="AM48" s="1">
        <v>40</v>
      </c>
      <c r="AN48" s="1">
        <v>20</v>
      </c>
      <c r="AO48">
        <f t="shared" si="1"/>
        <v>30</v>
      </c>
    </row>
    <row r="49" spans="1:41" x14ac:dyDescent="0.35">
      <c r="A49" s="31" t="s">
        <v>127</v>
      </c>
      <c r="B49" s="33"/>
      <c r="C49" s="1">
        <f t="shared" ref="C49:Q49" si="2">AVERAGE(C5:C48)</f>
        <v>2.8181818181818183</v>
      </c>
      <c r="D49" s="1">
        <f t="shared" si="2"/>
        <v>3.8863636363636362</v>
      </c>
      <c r="E49" s="1">
        <f t="shared" si="2"/>
        <v>3</v>
      </c>
      <c r="F49" s="1">
        <f t="shared" si="2"/>
        <v>2.9545454545454546</v>
      </c>
      <c r="G49" s="1">
        <f t="shared" si="2"/>
        <v>3.7045454545454546</v>
      </c>
      <c r="H49" s="1">
        <f t="shared" si="2"/>
        <v>3.9772727272727271</v>
      </c>
      <c r="I49" s="1">
        <f t="shared" si="2"/>
        <v>3.2727272727272729</v>
      </c>
      <c r="J49" s="1">
        <f t="shared" si="2"/>
        <v>2.8863636363636362</v>
      </c>
      <c r="K49" s="1">
        <f t="shared" si="2"/>
        <v>3.0227272727272729</v>
      </c>
      <c r="L49" s="1">
        <f t="shared" si="2"/>
        <v>3.0454545454545454</v>
      </c>
      <c r="M49" s="1">
        <f t="shared" si="2"/>
        <v>3.6590909090909092</v>
      </c>
      <c r="N49" s="1">
        <f t="shared" si="2"/>
        <v>4.0681818181818183</v>
      </c>
      <c r="O49" s="1">
        <f t="shared" si="2"/>
        <v>3.8409090909090908</v>
      </c>
      <c r="P49" s="1">
        <f t="shared" si="2"/>
        <v>3.7272727272727271</v>
      </c>
      <c r="Q49" s="1">
        <f t="shared" si="2"/>
        <v>3.5909090909090908</v>
      </c>
      <c r="T49" s="20">
        <v>44</v>
      </c>
      <c r="U49" s="21" t="s">
        <v>71</v>
      </c>
      <c r="V49" s="22">
        <v>5</v>
      </c>
      <c r="W49" s="22">
        <v>1</v>
      </c>
      <c r="X49" s="22">
        <v>1</v>
      </c>
      <c r="Y49" s="22">
        <v>2</v>
      </c>
      <c r="Z49" s="22">
        <v>3</v>
      </c>
      <c r="AA49" s="22">
        <v>1</v>
      </c>
      <c r="AB49" s="22">
        <v>3</v>
      </c>
      <c r="AC49" s="22">
        <v>2</v>
      </c>
      <c r="AD49" s="22">
        <v>1</v>
      </c>
      <c r="AE49" s="22">
        <v>4</v>
      </c>
      <c r="AF49" s="22">
        <v>8</v>
      </c>
      <c r="AG49" s="22">
        <v>15</v>
      </c>
      <c r="AH49" s="22">
        <v>57.5</v>
      </c>
      <c r="AI49" s="22">
        <v>60</v>
      </c>
      <c r="AJ49" s="22">
        <v>5</v>
      </c>
      <c r="AK49" s="22">
        <v>85</v>
      </c>
      <c r="AL49" s="22">
        <v>60</v>
      </c>
      <c r="AM49" s="22">
        <v>60</v>
      </c>
      <c r="AN49" s="22">
        <v>20</v>
      </c>
      <c r="AO49">
        <f t="shared" si="1"/>
        <v>48.333333333333336</v>
      </c>
    </row>
    <row r="50" spans="1:41" x14ac:dyDescent="0.35">
      <c r="A50" s="31" t="s">
        <v>128</v>
      </c>
      <c r="B50" s="33"/>
      <c r="C50" s="1">
        <f t="shared" ref="C50:Q50" si="3">STDEV(C5:C48)</f>
        <v>1.4022030386225095</v>
      </c>
      <c r="D50" s="1">
        <f t="shared" si="3"/>
        <v>0.84125899811101401</v>
      </c>
      <c r="E50" s="1">
        <f t="shared" si="3"/>
        <v>0.80694658478592896</v>
      </c>
      <c r="F50" s="1">
        <f t="shared" si="3"/>
        <v>0.77623256688046505</v>
      </c>
      <c r="G50" s="1">
        <f t="shared" si="3"/>
        <v>1.5337982259364609</v>
      </c>
      <c r="H50" s="1">
        <f t="shared" si="3"/>
        <v>1.4222261679238197</v>
      </c>
      <c r="I50" s="1">
        <f t="shared" si="3"/>
        <v>1.1883863666536247</v>
      </c>
      <c r="J50" s="1">
        <f t="shared" si="3"/>
        <v>0.94539050848348138</v>
      </c>
      <c r="K50" s="1">
        <f t="shared" si="3"/>
        <v>1.0227331453907034</v>
      </c>
      <c r="L50" s="1">
        <f t="shared" si="3"/>
        <v>1.2566945467902482</v>
      </c>
      <c r="M50" s="1">
        <f t="shared" si="3"/>
        <v>1.6130742254030406</v>
      </c>
      <c r="N50" s="1">
        <f t="shared" si="3"/>
        <v>1.5461539270633311</v>
      </c>
      <c r="O50" s="1">
        <f t="shared" si="3"/>
        <v>1.5241189878804602</v>
      </c>
      <c r="P50" s="1">
        <f t="shared" si="3"/>
        <v>1.5754458411220198</v>
      </c>
      <c r="Q50" s="1">
        <f t="shared" si="3"/>
        <v>1.5747747246523247</v>
      </c>
      <c r="T50" s="31" t="s">
        <v>127</v>
      </c>
      <c r="U50" s="40"/>
      <c r="V50" s="1">
        <f t="shared" ref="V50:AO50" si="4">AVERAGE(V6:V49)</f>
        <v>2.0909090909090908</v>
      </c>
      <c r="W50" s="1">
        <f t="shared" si="4"/>
        <v>1.8863636363636365</v>
      </c>
      <c r="X50" s="1">
        <f t="shared" si="4"/>
        <v>2.25</v>
      </c>
      <c r="Y50" s="1">
        <f t="shared" si="4"/>
        <v>2.3181818181818183</v>
      </c>
      <c r="Z50" s="1">
        <f t="shared" si="4"/>
        <v>2.6363636363636362</v>
      </c>
      <c r="AA50" s="1">
        <f t="shared" si="4"/>
        <v>2.5227272727272729</v>
      </c>
      <c r="AB50" s="1">
        <f t="shared" si="4"/>
        <v>2.8863636363636362</v>
      </c>
      <c r="AC50" s="1">
        <f t="shared" si="4"/>
        <v>2.3181818181818183</v>
      </c>
      <c r="AD50" s="1">
        <f t="shared" si="4"/>
        <v>2.8863636363636362</v>
      </c>
      <c r="AE50" s="1">
        <f t="shared" si="4"/>
        <v>2.6818181818181817</v>
      </c>
      <c r="AF50" s="1">
        <f t="shared" si="4"/>
        <v>7.75</v>
      </c>
      <c r="AG50" s="1">
        <f t="shared" si="4"/>
        <v>13.272727272727273</v>
      </c>
      <c r="AH50" s="1">
        <f t="shared" si="4"/>
        <v>52.55681818181818</v>
      </c>
      <c r="AI50" s="1">
        <f t="shared" si="4"/>
        <v>21.931818181818183</v>
      </c>
      <c r="AJ50" s="1">
        <f t="shared" si="4"/>
        <v>25.227272727272727</v>
      </c>
      <c r="AK50" s="1">
        <f t="shared" si="4"/>
        <v>27.613636363636363</v>
      </c>
      <c r="AL50" s="1">
        <f t="shared" si="4"/>
        <v>33.409090909090907</v>
      </c>
      <c r="AM50" s="1">
        <f t="shared" si="4"/>
        <v>36.136363636363633</v>
      </c>
      <c r="AN50" s="1">
        <f t="shared" si="4"/>
        <v>39.659090909090907</v>
      </c>
      <c r="AO50" s="1">
        <f t="shared" si="4"/>
        <v>30.662878787878785</v>
      </c>
    </row>
    <row r="51" spans="1:41" x14ac:dyDescent="0.35">
      <c r="T51" s="31" t="s">
        <v>128</v>
      </c>
      <c r="U51" s="40"/>
      <c r="V51" s="1">
        <f t="shared" ref="V51:AO51" si="5">STDEV(V6:V49)</f>
        <v>1.2354865686484746</v>
      </c>
      <c r="W51" s="1">
        <f t="shared" si="5"/>
        <v>0.8412589981110149</v>
      </c>
      <c r="X51" s="1">
        <f t="shared" si="5"/>
        <v>1.1023231282476873</v>
      </c>
      <c r="Y51" s="1">
        <f t="shared" si="5"/>
        <v>0.98294117907543099</v>
      </c>
      <c r="Z51" s="1">
        <f t="shared" si="5"/>
        <v>0.96667517189036167</v>
      </c>
      <c r="AA51" s="1">
        <f t="shared" si="5"/>
        <v>1.0888149385463499</v>
      </c>
      <c r="AB51" s="1">
        <f t="shared" si="5"/>
        <v>1.061282880793589</v>
      </c>
      <c r="AC51" s="1">
        <f t="shared" si="5"/>
        <v>0.88324789832429917</v>
      </c>
      <c r="AD51" s="1">
        <f t="shared" si="5"/>
        <v>1.0391389344830471</v>
      </c>
      <c r="AE51" s="1">
        <f t="shared" si="5"/>
        <v>1.2533253864471496</v>
      </c>
      <c r="AF51" s="1">
        <f t="shared" si="5"/>
        <v>2.6687249808205817</v>
      </c>
      <c r="AG51" s="1">
        <f t="shared" si="5"/>
        <v>2.7310755728018923</v>
      </c>
      <c r="AH51" s="1">
        <f t="shared" si="5"/>
        <v>10.558373679543221</v>
      </c>
      <c r="AI51" s="1">
        <f t="shared" si="5"/>
        <v>17.82394225606582</v>
      </c>
      <c r="AJ51" s="1">
        <f t="shared" si="5"/>
        <v>15.056272178859217</v>
      </c>
      <c r="AK51" s="1">
        <f t="shared" si="5"/>
        <v>19.484300071083958</v>
      </c>
      <c r="AL51" s="1">
        <f t="shared" si="5"/>
        <v>18.701222670908233</v>
      </c>
      <c r="AM51" s="1">
        <f t="shared" si="5"/>
        <v>18.981742646848971</v>
      </c>
      <c r="AN51" s="1">
        <f t="shared" si="5"/>
        <v>20.527851960959733</v>
      </c>
      <c r="AO51" s="1">
        <f t="shared" si="5"/>
        <v>11.726837560417932</v>
      </c>
    </row>
    <row r="56" spans="1:41" x14ac:dyDescent="0.35">
      <c r="C56" s="48" t="s">
        <v>61</v>
      </c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</row>
    <row r="57" spans="1:41" x14ac:dyDescent="0.35">
      <c r="C57" s="2" t="s">
        <v>45</v>
      </c>
      <c r="D57" s="2" t="s">
        <v>46</v>
      </c>
      <c r="E57" s="2" t="s">
        <v>47</v>
      </c>
      <c r="F57" s="2" t="s">
        <v>48</v>
      </c>
      <c r="G57" s="2" t="s">
        <v>49</v>
      </c>
      <c r="H57" s="2" t="s">
        <v>50</v>
      </c>
      <c r="I57" s="2" t="s">
        <v>51</v>
      </c>
      <c r="J57" s="2" t="s">
        <v>52</v>
      </c>
      <c r="K57" s="2" t="s">
        <v>53</v>
      </c>
      <c r="L57" s="2" t="s">
        <v>54</v>
      </c>
      <c r="M57" s="2" t="s">
        <v>55</v>
      </c>
      <c r="N57" s="2" t="s">
        <v>56</v>
      </c>
      <c r="O57" s="2" t="s">
        <v>57</v>
      </c>
      <c r="P57" s="2" t="s">
        <v>58</v>
      </c>
      <c r="Q57" s="2" t="s">
        <v>59</v>
      </c>
    </row>
    <row r="58" spans="1:41" x14ac:dyDescent="0.35">
      <c r="C58" s="1" t="s">
        <v>62</v>
      </c>
      <c r="D58" s="1" t="s">
        <v>63</v>
      </c>
      <c r="E58" s="1" t="s">
        <v>65</v>
      </c>
      <c r="F58" s="1" t="s">
        <v>65</v>
      </c>
      <c r="G58" s="1" t="s">
        <v>62</v>
      </c>
      <c r="H58" s="1" t="s">
        <v>70</v>
      </c>
      <c r="I58" s="1" t="s">
        <v>64</v>
      </c>
      <c r="J58" s="1" t="s">
        <v>75</v>
      </c>
      <c r="K58" s="1" t="s">
        <v>75</v>
      </c>
      <c r="L58" s="1" t="s">
        <v>76</v>
      </c>
      <c r="M58" s="1" t="s">
        <v>62</v>
      </c>
      <c r="N58" s="1" t="s">
        <v>64</v>
      </c>
      <c r="O58" s="1" t="s">
        <v>76</v>
      </c>
      <c r="P58" s="1" t="s">
        <v>65</v>
      </c>
      <c r="Q58" s="1" t="s">
        <v>69</v>
      </c>
    </row>
    <row r="59" spans="1:41" x14ac:dyDescent="0.35">
      <c r="A59" s="2" t="s">
        <v>44</v>
      </c>
      <c r="B59" s="2" t="s">
        <v>0</v>
      </c>
      <c r="C59" s="28" t="s">
        <v>74</v>
      </c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</row>
    <row r="60" spans="1:41" x14ac:dyDescent="0.35">
      <c r="A60" s="1"/>
      <c r="B60" s="1"/>
      <c r="C60" s="2" t="s">
        <v>45</v>
      </c>
      <c r="D60" s="2" t="s">
        <v>46</v>
      </c>
      <c r="E60" s="2" t="s">
        <v>47</v>
      </c>
      <c r="F60" s="2" t="s">
        <v>48</v>
      </c>
      <c r="G60" s="2" t="s">
        <v>49</v>
      </c>
      <c r="H60" s="2" t="s">
        <v>50</v>
      </c>
      <c r="I60" s="2" t="s">
        <v>51</v>
      </c>
      <c r="J60" s="2" t="s">
        <v>52</v>
      </c>
      <c r="K60" s="2" t="s">
        <v>53</v>
      </c>
      <c r="L60" s="2" t="s">
        <v>54</v>
      </c>
      <c r="M60" s="2" t="s">
        <v>55</v>
      </c>
      <c r="N60" s="2" t="s">
        <v>56</v>
      </c>
      <c r="O60" s="2" t="s">
        <v>57</v>
      </c>
      <c r="P60" s="2" t="s">
        <v>58</v>
      </c>
      <c r="Q60" s="2" t="s">
        <v>59</v>
      </c>
      <c r="R60" s="13" t="s">
        <v>110</v>
      </c>
    </row>
    <row r="61" spans="1:41" x14ac:dyDescent="0.35">
      <c r="A61" s="1"/>
      <c r="B61" s="1"/>
      <c r="C61" s="28" t="s">
        <v>77</v>
      </c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</row>
    <row r="62" spans="1:41" x14ac:dyDescent="0.35">
      <c r="A62" s="2">
        <v>1</v>
      </c>
      <c r="B62" s="3" t="s">
        <v>1</v>
      </c>
      <c r="C62" s="1">
        <v>1</v>
      </c>
      <c r="D62" s="1">
        <v>0</v>
      </c>
      <c r="E62" s="1">
        <v>1</v>
      </c>
      <c r="F62" s="1">
        <v>0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  <c r="L62" s="1">
        <v>1</v>
      </c>
      <c r="M62" s="1">
        <v>1</v>
      </c>
      <c r="N62" s="1">
        <v>1</v>
      </c>
      <c r="O62" s="1">
        <v>1</v>
      </c>
      <c r="P62" s="1">
        <v>1</v>
      </c>
      <c r="Q62" s="1">
        <v>1</v>
      </c>
      <c r="R62">
        <f t="shared" ref="R62:R105" si="6">AVERAGE(C62:Q62)*100</f>
        <v>86.666666666666671</v>
      </c>
    </row>
    <row r="63" spans="1:41" x14ac:dyDescent="0.35">
      <c r="A63" s="2">
        <v>2</v>
      </c>
      <c r="B63" s="3" t="s">
        <v>2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0</v>
      </c>
      <c r="K63" s="1">
        <v>1</v>
      </c>
      <c r="L63" s="1">
        <v>1</v>
      </c>
      <c r="M63" s="1">
        <v>1</v>
      </c>
      <c r="N63" s="1">
        <v>1</v>
      </c>
      <c r="O63" s="1">
        <v>1</v>
      </c>
      <c r="P63" s="1">
        <v>1</v>
      </c>
      <c r="Q63" s="1">
        <v>1</v>
      </c>
      <c r="R63">
        <f t="shared" si="6"/>
        <v>93.333333333333329</v>
      </c>
    </row>
    <row r="64" spans="1:41" x14ac:dyDescent="0.35">
      <c r="A64" s="2">
        <v>3</v>
      </c>
      <c r="B64" s="3" t="s">
        <v>3</v>
      </c>
      <c r="C64" s="1">
        <v>1</v>
      </c>
      <c r="D64" s="1">
        <v>1</v>
      </c>
      <c r="E64" s="1">
        <v>1</v>
      </c>
      <c r="F64" s="1">
        <v>1</v>
      </c>
      <c r="G64" s="1">
        <v>0</v>
      </c>
      <c r="H64" s="1">
        <v>1</v>
      </c>
      <c r="I64" s="1">
        <v>1</v>
      </c>
      <c r="J64" s="1">
        <v>1</v>
      </c>
      <c r="K64" s="1">
        <v>1</v>
      </c>
      <c r="L64" s="1">
        <v>1</v>
      </c>
      <c r="M64" s="1">
        <v>1</v>
      </c>
      <c r="N64" s="1">
        <v>1</v>
      </c>
      <c r="O64" s="1">
        <v>1</v>
      </c>
      <c r="P64" s="1">
        <v>1</v>
      </c>
      <c r="Q64" s="1">
        <v>1</v>
      </c>
      <c r="R64">
        <f t="shared" si="6"/>
        <v>93.333333333333329</v>
      </c>
    </row>
    <row r="65" spans="1:18" x14ac:dyDescent="0.35">
      <c r="A65" s="2">
        <v>4</v>
      </c>
      <c r="B65" s="3" t="s">
        <v>4</v>
      </c>
      <c r="C65" s="1">
        <v>1</v>
      </c>
      <c r="D65" s="1">
        <v>1</v>
      </c>
      <c r="E65" s="1">
        <v>0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  <c r="K65" s="1">
        <v>1</v>
      </c>
      <c r="L65" s="1">
        <v>1</v>
      </c>
      <c r="M65" s="1">
        <v>1</v>
      </c>
      <c r="N65" s="1">
        <v>1</v>
      </c>
      <c r="O65" s="1">
        <v>1</v>
      </c>
      <c r="P65" s="1">
        <v>1</v>
      </c>
      <c r="Q65" s="1">
        <v>1</v>
      </c>
      <c r="R65">
        <f t="shared" si="6"/>
        <v>93.333333333333329</v>
      </c>
    </row>
    <row r="66" spans="1:18" x14ac:dyDescent="0.35">
      <c r="A66" s="2">
        <v>5</v>
      </c>
      <c r="B66" s="3" t="s">
        <v>5</v>
      </c>
      <c r="C66" s="1">
        <v>1</v>
      </c>
      <c r="D66" s="1">
        <v>1</v>
      </c>
      <c r="E66" s="1">
        <v>1</v>
      </c>
      <c r="F66" s="1">
        <v>1</v>
      </c>
      <c r="G66" s="1">
        <v>1</v>
      </c>
      <c r="H66" s="1">
        <v>1</v>
      </c>
      <c r="I66" s="1">
        <v>0</v>
      </c>
      <c r="J66" s="1">
        <v>1</v>
      </c>
      <c r="K66" s="1">
        <v>1</v>
      </c>
      <c r="L66" s="1">
        <v>1</v>
      </c>
      <c r="M66" s="1">
        <v>1</v>
      </c>
      <c r="N66" s="1">
        <v>1</v>
      </c>
      <c r="O66" s="1">
        <v>1</v>
      </c>
      <c r="P66" s="1">
        <v>1</v>
      </c>
      <c r="Q66" s="1">
        <v>1</v>
      </c>
      <c r="R66">
        <f t="shared" si="6"/>
        <v>93.333333333333329</v>
      </c>
    </row>
    <row r="67" spans="1:18" x14ac:dyDescent="0.35">
      <c r="A67" s="2">
        <v>6</v>
      </c>
      <c r="B67" s="3" t="s">
        <v>6</v>
      </c>
      <c r="C67" s="1">
        <v>1</v>
      </c>
      <c r="D67" s="1">
        <v>1</v>
      </c>
      <c r="E67" s="1">
        <v>1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  <c r="K67" s="1">
        <v>0</v>
      </c>
      <c r="L67" s="1">
        <v>1</v>
      </c>
      <c r="M67" s="1">
        <v>1</v>
      </c>
      <c r="N67" s="1">
        <v>1</v>
      </c>
      <c r="O67" s="1">
        <v>0</v>
      </c>
      <c r="P67" s="1">
        <v>1</v>
      </c>
      <c r="Q67" s="1">
        <v>1</v>
      </c>
      <c r="R67">
        <f t="shared" si="6"/>
        <v>86.666666666666671</v>
      </c>
    </row>
    <row r="68" spans="1:18" x14ac:dyDescent="0.35">
      <c r="A68" s="2">
        <v>7</v>
      </c>
      <c r="B68" s="3" t="s">
        <v>7</v>
      </c>
      <c r="C68" s="1">
        <v>1</v>
      </c>
      <c r="D68" s="1">
        <v>0</v>
      </c>
      <c r="E68" s="1">
        <v>1</v>
      </c>
      <c r="F68" s="1">
        <v>0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  <c r="M68" s="1">
        <v>1</v>
      </c>
      <c r="N68" s="1">
        <v>1</v>
      </c>
      <c r="O68" s="1">
        <v>1</v>
      </c>
      <c r="P68" s="1">
        <v>1</v>
      </c>
      <c r="Q68" s="1">
        <v>1</v>
      </c>
      <c r="R68">
        <f t="shared" si="6"/>
        <v>86.666666666666671</v>
      </c>
    </row>
    <row r="69" spans="1:18" x14ac:dyDescent="0.35">
      <c r="A69" s="2">
        <v>8</v>
      </c>
      <c r="B69" s="3" t="s">
        <v>8</v>
      </c>
      <c r="C69" s="1">
        <v>1</v>
      </c>
      <c r="D69" s="1">
        <v>1</v>
      </c>
      <c r="E69" s="1">
        <v>1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  <c r="L69" s="1">
        <v>1</v>
      </c>
      <c r="M69" s="1">
        <v>0</v>
      </c>
      <c r="N69" s="1">
        <v>1</v>
      </c>
      <c r="O69" s="1">
        <v>1</v>
      </c>
      <c r="P69" s="1">
        <v>1</v>
      </c>
      <c r="Q69" s="1">
        <v>1</v>
      </c>
      <c r="R69">
        <f t="shared" si="6"/>
        <v>93.333333333333329</v>
      </c>
    </row>
    <row r="70" spans="1:18" x14ac:dyDescent="0.35">
      <c r="A70" s="2">
        <v>9</v>
      </c>
      <c r="B70" s="3" t="s">
        <v>9</v>
      </c>
      <c r="C70" s="1">
        <v>1</v>
      </c>
      <c r="D70" s="1">
        <v>1</v>
      </c>
      <c r="E70" s="1">
        <v>1</v>
      </c>
      <c r="F70" s="1">
        <v>1</v>
      </c>
      <c r="G70" s="1">
        <v>0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1</v>
      </c>
      <c r="N70" s="1">
        <v>1</v>
      </c>
      <c r="O70" s="1">
        <v>1</v>
      </c>
      <c r="P70" s="1">
        <v>0</v>
      </c>
      <c r="Q70" s="1">
        <v>1</v>
      </c>
      <c r="R70">
        <f t="shared" si="6"/>
        <v>86.666666666666671</v>
      </c>
    </row>
    <row r="71" spans="1:18" x14ac:dyDescent="0.35">
      <c r="A71" s="2">
        <v>10</v>
      </c>
      <c r="B71" s="3" t="s">
        <v>10</v>
      </c>
      <c r="C71" s="1">
        <v>0</v>
      </c>
      <c r="D71" s="1">
        <v>1</v>
      </c>
      <c r="E71" s="1">
        <v>0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  <c r="K71" s="1">
        <v>0</v>
      </c>
      <c r="L71" s="1">
        <v>1</v>
      </c>
      <c r="M71" s="1">
        <v>1</v>
      </c>
      <c r="N71" s="1">
        <v>1</v>
      </c>
      <c r="O71" s="1">
        <v>1</v>
      </c>
      <c r="P71" s="1">
        <v>1</v>
      </c>
      <c r="Q71" s="1">
        <v>0</v>
      </c>
      <c r="R71">
        <f t="shared" si="6"/>
        <v>73.333333333333329</v>
      </c>
    </row>
    <row r="72" spans="1:18" x14ac:dyDescent="0.35">
      <c r="A72" s="2">
        <v>11</v>
      </c>
      <c r="B72" s="3" t="s">
        <v>11</v>
      </c>
      <c r="C72" s="1">
        <v>1</v>
      </c>
      <c r="D72" s="1">
        <v>1</v>
      </c>
      <c r="E72" s="1">
        <v>1</v>
      </c>
      <c r="F72" s="1">
        <v>1</v>
      </c>
      <c r="G72" s="1">
        <v>1</v>
      </c>
      <c r="H72" s="1">
        <v>1</v>
      </c>
      <c r="I72" s="1">
        <v>1</v>
      </c>
      <c r="J72" s="1">
        <v>0</v>
      </c>
      <c r="K72" s="1">
        <v>1</v>
      </c>
      <c r="L72" s="1">
        <v>0</v>
      </c>
      <c r="M72" s="1">
        <v>1</v>
      </c>
      <c r="N72" s="1">
        <v>0</v>
      </c>
      <c r="O72" s="1">
        <v>1</v>
      </c>
      <c r="P72" s="1">
        <v>1</v>
      </c>
      <c r="Q72" s="1">
        <v>1</v>
      </c>
      <c r="R72">
        <f t="shared" si="6"/>
        <v>80</v>
      </c>
    </row>
    <row r="73" spans="1:18" x14ac:dyDescent="0.35">
      <c r="A73" s="2">
        <v>12</v>
      </c>
      <c r="B73" s="3" t="s">
        <v>12</v>
      </c>
      <c r="C73" s="1">
        <v>1</v>
      </c>
      <c r="D73" s="1">
        <v>1</v>
      </c>
      <c r="E73" s="1">
        <v>1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  <c r="M73" s="1">
        <v>0</v>
      </c>
      <c r="N73" s="1">
        <v>1</v>
      </c>
      <c r="O73" s="1">
        <v>1</v>
      </c>
      <c r="P73" s="1">
        <v>1</v>
      </c>
      <c r="Q73" s="1">
        <v>1</v>
      </c>
      <c r="R73">
        <f t="shared" si="6"/>
        <v>93.333333333333329</v>
      </c>
    </row>
    <row r="74" spans="1:18" x14ac:dyDescent="0.35">
      <c r="A74" s="2">
        <v>13</v>
      </c>
      <c r="B74" s="3" t="s">
        <v>13</v>
      </c>
      <c r="C74" s="1">
        <v>1</v>
      </c>
      <c r="D74" s="1">
        <v>0</v>
      </c>
      <c r="E74" s="1">
        <v>1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  <c r="K74" s="1">
        <v>0</v>
      </c>
      <c r="L74" s="1">
        <v>1</v>
      </c>
      <c r="M74" s="1">
        <v>1</v>
      </c>
      <c r="N74" s="1">
        <v>1</v>
      </c>
      <c r="O74" s="1">
        <v>1</v>
      </c>
      <c r="P74" s="1">
        <v>1</v>
      </c>
      <c r="Q74" s="1">
        <v>1</v>
      </c>
      <c r="R74">
        <f t="shared" si="6"/>
        <v>86.666666666666671</v>
      </c>
    </row>
    <row r="75" spans="1:18" x14ac:dyDescent="0.35">
      <c r="A75" s="2">
        <v>14</v>
      </c>
      <c r="B75" s="3" t="s">
        <v>14</v>
      </c>
      <c r="C75" s="1">
        <v>1</v>
      </c>
      <c r="D75" s="1">
        <v>1</v>
      </c>
      <c r="E75" s="1">
        <v>1</v>
      </c>
      <c r="F75" s="1">
        <v>1</v>
      </c>
      <c r="G75" s="1">
        <v>0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  <c r="M75" s="1">
        <v>1</v>
      </c>
      <c r="N75" s="1">
        <v>1</v>
      </c>
      <c r="O75" s="1">
        <v>1</v>
      </c>
      <c r="P75" s="1">
        <v>0</v>
      </c>
      <c r="Q75" s="1">
        <v>1</v>
      </c>
      <c r="R75">
        <f t="shared" si="6"/>
        <v>86.666666666666671</v>
      </c>
    </row>
    <row r="76" spans="1:18" x14ac:dyDescent="0.35">
      <c r="A76" s="2">
        <v>15</v>
      </c>
      <c r="B76" s="3" t="s">
        <v>15</v>
      </c>
      <c r="C76" s="1">
        <v>1</v>
      </c>
      <c r="D76" s="1">
        <v>1</v>
      </c>
      <c r="E76" s="1">
        <v>1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  <c r="M76" s="1">
        <v>1</v>
      </c>
      <c r="N76" s="1">
        <v>1</v>
      </c>
      <c r="O76" s="1">
        <v>1</v>
      </c>
      <c r="P76" s="1">
        <v>1</v>
      </c>
      <c r="Q76" s="1">
        <v>1</v>
      </c>
      <c r="R76">
        <f t="shared" si="6"/>
        <v>100</v>
      </c>
    </row>
    <row r="77" spans="1:18" x14ac:dyDescent="0.35">
      <c r="A77" s="2">
        <v>16</v>
      </c>
      <c r="B77" s="3" t="s">
        <v>16</v>
      </c>
      <c r="C77" s="1">
        <v>1</v>
      </c>
      <c r="D77" s="1">
        <v>1</v>
      </c>
      <c r="E77" s="1">
        <v>1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0</v>
      </c>
      <c r="N77" s="1">
        <v>1</v>
      </c>
      <c r="O77" s="1">
        <v>1</v>
      </c>
      <c r="P77" s="1">
        <v>1</v>
      </c>
      <c r="Q77" s="1">
        <v>1</v>
      </c>
      <c r="R77">
        <f t="shared" si="6"/>
        <v>93.333333333333329</v>
      </c>
    </row>
    <row r="78" spans="1:18" x14ac:dyDescent="0.35">
      <c r="A78" s="2">
        <v>17</v>
      </c>
      <c r="B78" s="3" t="s">
        <v>17</v>
      </c>
      <c r="C78" s="1">
        <v>1</v>
      </c>
      <c r="D78" s="1">
        <v>1</v>
      </c>
      <c r="E78" s="1">
        <v>0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  <c r="L78" s="1">
        <v>1</v>
      </c>
      <c r="M78" s="1">
        <v>1</v>
      </c>
      <c r="N78" s="1">
        <v>1</v>
      </c>
      <c r="O78" s="1">
        <v>1</v>
      </c>
      <c r="P78" s="1">
        <v>1</v>
      </c>
      <c r="Q78" s="1">
        <v>1</v>
      </c>
      <c r="R78">
        <f t="shared" si="6"/>
        <v>93.333333333333329</v>
      </c>
    </row>
    <row r="79" spans="1:18" x14ac:dyDescent="0.35">
      <c r="A79" s="2">
        <f>18</f>
        <v>18</v>
      </c>
      <c r="B79" s="3" t="s">
        <v>18</v>
      </c>
      <c r="C79" s="1">
        <v>0</v>
      </c>
      <c r="D79" s="1">
        <v>1</v>
      </c>
      <c r="E79" s="1">
        <v>1</v>
      </c>
      <c r="F79" s="1">
        <v>1</v>
      </c>
      <c r="G79" s="1">
        <v>1</v>
      </c>
      <c r="H79" s="1">
        <v>1</v>
      </c>
      <c r="I79" s="1">
        <v>0</v>
      </c>
      <c r="J79" s="1">
        <v>1</v>
      </c>
      <c r="K79" s="1">
        <v>0</v>
      </c>
      <c r="L79" s="1">
        <v>1</v>
      </c>
      <c r="M79" s="1">
        <v>1</v>
      </c>
      <c r="N79" s="1">
        <v>0</v>
      </c>
      <c r="O79" s="1">
        <v>1</v>
      </c>
      <c r="P79" s="1">
        <v>1</v>
      </c>
      <c r="Q79" s="1">
        <v>1</v>
      </c>
      <c r="R79">
        <f t="shared" si="6"/>
        <v>73.333333333333329</v>
      </c>
    </row>
    <row r="80" spans="1:18" x14ac:dyDescent="0.35">
      <c r="A80" s="2">
        <v>19</v>
      </c>
      <c r="B80" s="3" t="s">
        <v>19</v>
      </c>
      <c r="C80" s="1">
        <v>1</v>
      </c>
      <c r="D80" s="1">
        <v>1</v>
      </c>
      <c r="E80" s="1">
        <v>1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  <c r="L80" s="1">
        <v>1</v>
      </c>
      <c r="M80" s="1">
        <v>1</v>
      </c>
      <c r="N80" s="1">
        <v>1</v>
      </c>
      <c r="O80" s="1">
        <v>1</v>
      </c>
      <c r="P80" s="1">
        <v>1</v>
      </c>
      <c r="Q80" s="1">
        <v>0</v>
      </c>
      <c r="R80">
        <f t="shared" si="6"/>
        <v>93.333333333333329</v>
      </c>
    </row>
    <row r="81" spans="1:18" x14ac:dyDescent="0.35">
      <c r="A81" s="2">
        <v>20</v>
      </c>
      <c r="B81" s="3" t="s">
        <v>20</v>
      </c>
      <c r="C81" s="1">
        <v>1</v>
      </c>
      <c r="D81" s="1">
        <v>0</v>
      </c>
      <c r="E81" s="1">
        <v>1</v>
      </c>
      <c r="F81" s="1">
        <v>1</v>
      </c>
      <c r="G81" s="1">
        <v>1</v>
      </c>
      <c r="H81" s="1">
        <v>1</v>
      </c>
      <c r="I81" s="1">
        <v>1</v>
      </c>
      <c r="J81" s="1">
        <v>1</v>
      </c>
      <c r="K81" s="1">
        <v>1</v>
      </c>
      <c r="L81" s="1">
        <v>1</v>
      </c>
      <c r="M81" s="1">
        <v>0</v>
      </c>
      <c r="N81" s="1">
        <v>1</v>
      </c>
      <c r="O81" s="1">
        <v>1</v>
      </c>
      <c r="P81" s="1">
        <v>0</v>
      </c>
      <c r="Q81" s="1">
        <v>1</v>
      </c>
      <c r="R81">
        <f t="shared" si="6"/>
        <v>80</v>
      </c>
    </row>
    <row r="82" spans="1:18" x14ac:dyDescent="0.35">
      <c r="A82" s="2">
        <v>21</v>
      </c>
      <c r="B82" s="3" t="s">
        <v>21</v>
      </c>
      <c r="C82" s="1">
        <v>1</v>
      </c>
      <c r="D82" s="1">
        <v>1</v>
      </c>
      <c r="E82" s="1">
        <v>1</v>
      </c>
      <c r="F82" s="1">
        <v>0</v>
      </c>
      <c r="G82" s="1">
        <v>1</v>
      </c>
      <c r="H82" s="1">
        <v>1</v>
      </c>
      <c r="I82" s="1">
        <v>1</v>
      </c>
      <c r="J82" s="1">
        <v>0</v>
      </c>
      <c r="K82" s="1">
        <v>1</v>
      </c>
      <c r="L82" s="1">
        <v>1</v>
      </c>
      <c r="M82" s="1">
        <v>1</v>
      </c>
      <c r="N82" s="1">
        <v>1</v>
      </c>
      <c r="O82" s="1">
        <v>1</v>
      </c>
      <c r="P82" s="1">
        <v>1</v>
      </c>
      <c r="Q82" s="1">
        <v>1</v>
      </c>
      <c r="R82">
        <f t="shared" si="6"/>
        <v>86.666666666666671</v>
      </c>
    </row>
    <row r="83" spans="1:18" x14ac:dyDescent="0.35">
      <c r="A83" s="2">
        <v>22</v>
      </c>
      <c r="B83" s="3" t="s">
        <v>22</v>
      </c>
      <c r="C83" s="1">
        <v>1</v>
      </c>
      <c r="D83" s="1">
        <v>1</v>
      </c>
      <c r="E83" s="1">
        <v>1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  <c r="M83" s="1">
        <v>1</v>
      </c>
      <c r="N83" s="1">
        <v>1</v>
      </c>
      <c r="O83" s="1">
        <v>1</v>
      </c>
      <c r="P83" s="1">
        <v>1</v>
      </c>
      <c r="Q83" s="1">
        <v>1</v>
      </c>
      <c r="R83">
        <f t="shared" si="6"/>
        <v>100</v>
      </c>
    </row>
    <row r="84" spans="1:18" x14ac:dyDescent="0.35">
      <c r="A84" s="2">
        <v>23</v>
      </c>
      <c r="B84" s="3" t="s">
        <v>23</v>
      </c>
      <c r="C84" s="1">
        <v>1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0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>
        <f t="shared" si="6"/>
        <v>93.333333333333329</v>
      </c>
    </row>
    <row r="85" spans="1:18" x14ac:dyDescent="0.35">
      <c r="A85" s="2">
        <v>24</v>
      </c>
      <c r="B85" s="3" t="s">
        <v>24</v>
      </c>
      <c r="C85" s="1">
        <v>1</v>
      </c>
      <c r="D85" s="1">
        <v>1</v>
      </c>
      <c r="E85" s="1">
        <v>1</v>
      </c>
      <c r="F85" s="1">
        <v>1</v>
      </c>
      <c r="G85" s="1">
        <v>0</v>
      </c>
      <c r="H85" s="1">
        <v>1</v>
      </c>
      <c r="I85" s="1">
        <v>1</v>
      </c>
      <c r="J85" s="1">
        <v>1</v>
      </c>
      <c r="K85" s="1">
        <v>1</v>
      </c>
      <c r="L85" s="1">
        <v>1</v>
      </c>
      <c r="M85" s="1">
        <v>1</v>
      </c>
      <c r="N85" s="1">
        <v>1</v>
      </c>
      <c r="O85" s="1">
        <v>1</v>
      </c>
      <c r="P85" s="1">
        <v>1</v>
      </c>
      <c r="Q85" s="1">
        <v>1</v>
      </c>
      <c r="R85">
        <f t="shared" si="6"/>
        <v>93.333333333333329</v>
      </c>
    </row>
    <row r="86" spans="1:18" x14ac:dyDescent="0.35">
      <c r="A86" s="2">
        <v>25</v>
      </c>
      <c r="B86" s="3" t="s">
        <v>25</v>
      </c>
      <c r="C86" s="1">
        <v>1</v>
      </c>
      <c r="D86" s="1">
        <v>0</v>
      </c>
      <c r="E86" s="1">
        <v>1</v>
      </c>
      <c r="F86" s="1">
        <v>1</v>
      </c>
      <c r="G86" s="1">
        <v>1</v>
      </c>
      <c r="H86" s="1">
        <v>1</v>
      </c>
      <c r="I86" s="1">
        <v>1</v>
      </c>
      <c r="J86" s="1">
        <v>1</v>
      </c>
      <c r="K86" s="1">
        <v>1</v>
      </c>
      <c r="L86" s="1">
        <v>1</v>
      </c>
      <c r="M86" s="1">
        <v>1</v>
      </c>
      <c r="N86" s="1">
        <v>1</v>
      </c>
      <c r="O86" s="1">
        <v>1</v>
      </c>
      <c r="P86" s="1">
        <v>1</v>
      </c>
      <c r="Q86" s="1">
        <v>1</v>
      </c>
      <c r="R86">
        <f t="shared" si="6"/>
        <v>93.333333333333329</v>
      </c>
    </row>
    <row r="87" spans="1:18" x14ac:dyDescent="0.35">
      <c r="A87" s="2">
        <v>26</v>
      </c>
      <c r="B87" s="3" t="s">
        <v>26</v>
      </c>
      <c r="C87" s="1">
        <v>1</v>
      </c>
      <c r="D87" s="1">
        <v>1</v>
      </c>
      <c r="E87" s="1">
        <v>1</v>
      </c>
      <c r="F87" s="1">
        <v>1</v>
      </c>
      <c r="G87" s="1">
        <v>1</v>
      </c>
      <c r="H87" s="1">
        <v>1</v>
      </c>
      <c r="I87" s="1">
        <v>1</v>
      </c>
      <c r="J87" s="1">
        <v>1</v>
      </c>
      <c r="K87" s="1">
        <v>1</v>
      </c>
      <c r="L87" s="1">
        <v>1</v>
      </c>
      <c r="M87" s="1">
        <v>1</v>
      </c>
      <c r="N87" s="1">
        <v>1</v>
      </c>
      <c r="O87" s="1">
        <v>1</v>
      </c>
      <c r="P87" s="1">
        <v>0</v>
      </c>
      <c r="Q87" s="1">
        <v>1</v>
      </c>
      <c r="R87">
        <f t="shared" si="6"/>
        <v>93.333333333333329</v>
      </c>
    </row>
    <row r="88" spans="1:18" x14ac:dyDescent="0.35">
      <c r="A88" s="2">
        <v>27</v>
      </c>
      <c r="B88" s="3" t="s">
        <v>27</v>
      </c>
      <c r="C88" s="1">
        <v>1</v>
      </c>
      <c r="D88" s="1">
        <v>1</v>
      </c>
      <c r="E88" s="1">
        <v>1</v>
      </c>
      <c r="F88" s="1">
        <v>0</v>
      </c>
      <c r="G88" s="1">
        <v>1</v>
      </c>
      <c r="H88" s="1">
        <v>1</v>
      </c>
      <c r="I88" s="1">
        <v>1</v>
      </c>
      <c r="J88" s="1">
        <v>1</v>
      </c>
      <c r="K88" s="1">
        <v>1</v>
      </c>
      <c r="L88" s="1">
        <v>1</v>
      </c>
      <c r="M88" s="1">
        <v>1</v>
      </c>
      <c r="N88" s="1">
        <v>1</v>
      </c>
      <c r="O88" s="1">
        <v>1</v>
      </c>
      <c r="P88" s="1">
        <v>1</v>
      </c>
      <c r="Q88" s="1">
        <v>1</v>
      </c>
      <c r="R88">
        <f t="shared" si="6"/>
        <v>93.333333333333329</v>
      </c>
    </row>
    <row r="89" spans="1:18" x14ac:dyDescent="0.35">
      <c r="A89" s="2">
        <v>28</v>
      </c>
      <c r="B89" s="3" t="s">
        <v>28</v>
      </c>
      <c r="C89" s="1">
        <v>1</v>
      </c>
      <c r="D89" s="1">
        <v>1</v>
      </c>
      <c r="E89" s="1">
        <v>1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  <c r="K89" s="1">
        <v>1</v>
      </c>
      <c r="L89" s="1">
        <v>1</v>
      </c>
      <c r="M89" s="1">
        <v>1</v>
      </c>
      <c r="N89" s="1">
        <v>1</v>
      </c>
      <c r="O89" s="1">
        <v>1</v>
      </c>
      <c r="P89" s="1">
        <v>1</v>
      </c>
      <c r="Q89" s="1">
        <v>0</v>
      </c>
      <c r="R89">
        <f t="shared" si="6"/>
        <v>93.333333333333329</v>
      </c>
    </row>
    <row r="90" spans="1:18" x14ac:dyDescent="0.35">
      <c r="A90" s="2">
        <v>29</v>
      </c>
      <c r="B90" s="3" t="s">
        <v>29</v>
      </c>
      <c r="C90" s="1">
        <v>1</v>
      </c>
      <c r="D90" s="1">
        <v>1</v>
      </c>
      <c r="E90" s="1">
        <v>0</v>
      </c>
      <c r="F90" s="1">
        <v>1</v>
      </c>
      <c r="G90" s="1">
        <v>1</v>
      </c>
      <c r="H90" s="1">
        <v>1</v>
      </c>
      <c r="I90" s="1">
        <v>1</v>
      </c>
      <c r="J90" s="1">
        <v>1</v>
      </c>
      <c r="K90" s="1">
        <v>0</v>
      </c>
      <c r="L90" s="1">
        <v>1</v>
      </c>
      <c r="M90" s="1">
        <v>1</v>
      </c>
      <c r="N90" s="1">
        <v>1</v>
      </c>
      <c r="O90" s="1">
        <v>1</v>
      </c>
      <c r="P90" s="1">
        <v>1</v>
      </c>
      <c r="Q90" s="1">
        <v>1</v>
      </c>
      <c r="R90">
        <f t="shared" si="6"/>
        <v>86.666666666666671</v>
      </c>
    </row>
    <row r="91" spans="1:18" x14ac:dyDescent="0.35">
      <c r="A91" s="2">
        <v>30</v>
      </c>
      <c r="B91" s="3" t="s">
        <v>30</v>
      </c>
      <c r="C91" s="1">
        <v>1</v>
      </c>
      <c r="D91" s="1">
        <v>1</v>
      </c>
      <c r="E91" s="1">
        <v>1</v>
      </c>
      <c r="F91" s="1">
        <v>1</v>
      </c>
      <c r="G91" s="1">
        <v>1</v>
      </c>
      <c r="H91" s="1">
        <v>1</v>
      </c>
      <c r="I91" s="1">
        <v>1</v>
      </c>
      <c r="J91" s="1">
        <v>0</v>
      </c>
      <c r="K91" s="1">
        <v>1</v>
      </c>
      <c r="L91" s="1">
        <v>1</v>
      </c>
      <c r="M91" s="1">
        <v>1</v>
      </c>
      <c r="N91" s="1">
        <v>1</v>
      </c>
      <c r="O91" s="1">
        <v>1</v>
      </c>
      <c r="P91" s="1">
        <v>1</v>
      </c>
      <c r="Q91" s="1">
        <v>1</v>
      </c>
      <c r="R91">
        <f t="shared" si="6"/>
        <v>93.333333333333329</v>
      </c>
    </row>
    <row r="92" spans="1:18" x14ac:dyDescent="0.35">
      <c r="A92" s="2">
        <v>31</v>
      </c>
      <c r="B92" s="3" t="s">
        <v>31</v>
      </c>
      <c r="C92" s="1">
        <v>0</v>
      </c>
      <c r="D92" s="1">
        <v>1</v>
      </c>
      <c r="E92" s="1">
        <v>1</v>
      </c>
      <c r="F92" s="1">
        <v>1</v>
      </c>
      <c r="G92" s="1">
        <v>1</v>
      </c>
      <c r="H92" s="1">
        <v>1</v>
      </c>
      <c r="I92" s="1">
        <v>1</v>
      </c>
      <c r="J92" s="1">
        <v>1</v>
      </c>
      <c r="K92" s="1">
        <v>1</v>
      </c>
      <c r="L92" s="1">
        <v>1</v>
      </c>
      <c r="M92" s="1">
        <v>1</v>
      </c>
      <c r="N92" s="1">
        <v>1</v>
      </c>
      <c r="O92" s="1">
        <v>1</v>
      </c>
      <c r="P92" s="1">
        <v>0</v>
      </c>
      <c r="Q92" s="1">
        <v>1</v>
      </c>
      <c r="R92">
        <f t="shared" si="6"/>
        <v>86.666666666666671</v>
      </c>
    </row>
    <row r="93" spans="1:18" x14ac:dyDescent="0.35">
      <c r="A93" s="2">
        <v>32</v>
      </c>
      <c r="B93" s="3" t="s">
        <v>32</v>
      </c>
      <c r="C93" s="1">
        <v>1</v>
      </c>
      <c r="D93" s="1">
        <v>0</v>
      </c>
      <c r="E93" s="1">
        <v>1</v>
      </c>
      <c r="F93" s="1">
        <v>1</v>
      </c>
      <c r="G93" s="1">
        <v>1</v>
      </c>
      <c r="H93" s="1">
        <v>1</v>
      </c>
      <c r="I93" s="1">
        <v>1</v>
      </c>
      <c r="J93" s="1">
        <v>1</v>
      </c>
      <c r="K93" s="1">
        <v>1</v>
      </c>
      <c r="L93" s="1">
        <v>1</v>
      </c>
      <c r="M93" s="1">
        <v>1</v>
      </c>
      <c r="N93" s="1">
        <v>1</v>
      </c>
      <c r="O93" s="1">
        <v>1</v>
      </c>
      <c r="P93" s="1">
        <v>1</v>
      </c>
      <c r="Q93" s="1">
        <v>1</v>
      </c>
      <c r="R93">
        <f t="shared" si="6"/>
        <v>93.333333333333329</v>
      </c>
    </row>
    <row r="94" spans="1:18" x14ac:dyDescent="0.35">
      <c r="A94" s="2">
        <f>33</f>
        <v>33</v>
      </c>
      <c r="B94" s="3" t="s">
        <v>33</v>
      </c>
      <c r="C94" s="1">
        <v>1</v>
      </c>
      <c r="D94" s="1">
        <v>1</v>
      </c>
      <c r="E94" s="1">
        <v>1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  <c r="K94" s="1">
        <v>1</v>
      </c>
      <c r="L94" s="1">
        <v>1</v>
      </c>
      <c r="M94" s="1">
        <v>1</v>
      </c>
      <c r="N94" s="1">
        <v>1</v>
      </c>
      <c r="O94" s="1">
        <v>1</v>
      </c>
      <c r="P94" s="1">
        <v>1</v>
      </c>
      <c r="Q94" s="1">
        <v>1</v>
      </c>
      <c r="R94">
        <f t="shared" si="6"/>
        <v>100</v>
      </c>
    </row>
    <row r="95" spans="1:18" x14ac:dyDescent="0.35">
      <c r="A95" s="2">
        <v>34</v>
      </c>
      <c r="B95" s="3" t="s">
        <v>34</v>
      </c>
      <c r="C95" s="1">
        <v>1</v>
      </c>
      <c r="D95" s="1">
        <v>1</v>
      </c>
      <c r="E95" s="1">
        <v>1</v>
      </c>
      <c r="F95" s="1">
        <v>0</v>
      </c>
      <c r="G95" s="1">
        <v>1</v>
      </c>
      <c r="H95" s="1">
        <v>1</v>
      </c>
      <c r="I95" s="1">
        <v>1</v>
      </c>
      <c r="J95" s="1">
        <v>0</v>
      </c>
      <c r="K95" s="1">
        <v>1</v>
      </c>
      <c r="L95" s="1">
        <v>1</v>
      </c>
      <c r="M95" s="1">
        <v>1</v>
      </c>
      <c r="N95" s="1">
        <v>1</v>
      </c>
      <c r="O95" s="1">
        <v>1</v>
      </c>
      <c r="P95" s="1">
        <v>1</v>
      </c>
      <c r="Q95" s="1">
        <v>1</v>
      </c>
      <c r="R95">
        <f t="shared" si="6"/>
        <v>86.666666666666671</v>
      </c>
    </row>
    <row r="96" spans="1:18" x14ac:dyDescent="0.35">
      <c r="A96" s="2">
        <v>35</v>
      </c>
      <c r="B96" s="3" t="s">
        <v>35</v>
      </c>
      <c r="C96" s="1">
        <v>1</v>
      </c>
      <c r="D96" s="1">
        <v>1</v>
      </c>
      <c r="E96" s="1">
        <v>1</v>
      </c>
      <c r="F96" s="1">
        <v>1</v>
      </c>
      <c r="G96" s="1">
        <v>1</v>
      </c>
      <c r="H96" s="1">
        <v>1</v>
      </c>
      <c r="I96" s="1">
        <v>1</v>
      </c>
      <c r="J96" s="1">
        <v>1</v>
      </c>
      <c r="K96" s="1">
        <v>1</v>
      </c>
      <c r="L96" s="1">
        <v>1</v>
      </c>
      <c r="M96" s="1">
        <v>1</v>
      </c>
      <c r="N96" s="1">
        <v>1</v>
      </c>
      <c r="O96" s="1">
        <v>1</v>
      </c>
      <c r="P96" s="1">
        <v>1</v>
      </c>
      <c r="Q96" s="1">
        <v>1</v>
      </c>
      <c r="R96">
        <f t="shared" si="6"/>
        <v>100</v>
      </c>
    </row>
    <row r="97" spans="1:18" x14ac:dyDescent="0.35">
      <c r="A97" s="2">
        <v>36</v>
      </c>
      <c r="B97" s="3" t="s">
        <v>36</v>
      </c>
      <c r="C97" s="1">
        <v>1</v>
      </c>
      <c r="D97" s="1">
        <v>1</v>
      </c>
      <c r="E97" s="1">
        <v>1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  <c r="K97" s="1">
        <v>1</v>
      </c>
      <c r="L97" s="1">
        <v>1</v>
      </c>
      <c r="M97" s="1">
        <v>1</v>
      </c>
      <c r="N97" s="1">
        <v>1</v>
      </c>
      <c r="O97" s="1">
        <v>1</v>
      </c>
      <c r="P97" s="1">
        <v>1</v>
      </c>
      <c r="Q97" s="1">
        <v>1</v>
      </c>
      <c r="R97">
        <f t="shared" si="6"/>
        <v>100</v>
      </c>
    </row>
    <row r="98" spans="1:18" x14ac:dyDescent="0.35">
      <c r="A98" s="2">
        <v>37</v>
      </c>
      <c r="B98" s="3" t="s">
        <v>37</v>
      </c>
      <c r="C98" s="1">
        <v>1</v>
      </c>
      <c r="D98" s="1">
        <v>0</v>
      </c>
      <c r="E98" s="1">
        <v>1</v>
      </c>
      <c r="F98" s="1">
        <v>1</v>
      </c>
      <c r="G98" s="1">
        <v>1</v>
      </c>
      <c r="H98" s="1">
        <v>1</v>
      </c>
      <c r="I98" s="1">
        <v>1</v>
      </c>
      <c r="J98" s="1">
        <v>1</v>
      </c>
      <c r="K98" s="1">
        <v>1</v>
      </c>
      <c r="L98" s="1">
        <v>1</v>
      </c>
      <c r="M98" s="1">
        <v>1</v>
      </c>
      <c r="N98" s="1">
        <v>1</v>
      </c>
      <c r="O98" s="1">
        <v>1</v>
      </c>
      <c r="P98" s="1">
        <v>1</v>
      </c>
      <c r="Q98" s="1">
        <v>1</v>
      </c>
      <c r="R98">
        <f t="shared" si="6"/>
        <v>93.333333333333329</v>
      </c>
    </row>
    <row r="99" spans="1:18" x14ac:dyDescent="0.35">
      <c r="A99" s="2">
        <v>38</v>
      </c>
      <c r="B99" s="3" t="s">
        <v>38</v>
      </c>
      <c r="C99" s="1">
        <v>1</v>
      </c>
      <c r="D99" s="1">
        <v>1</v>
      </c>
      <c r="E99" s="1">
        <v>1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  <c r="M99" s="1">
        <v>1</v>
      </c>
      <c r="N99" s="1">
        <v>1</v>
      </c>
      <c r="O99" s="1">
        <v>1</v>
      </c>
      <c r="P99" s="1">
        <v>1</v>
      </c>
      <c r="Q99" s="1">
        <v>1</v>
      </c>
      <c r="R99">
        <f t="shared" si="6"/>
        <v>100</v>
      </c>
    </row>
    <row r="100" spans="1:18" x14ac:dyDescent="0.35">
      <c r="A100" s="2">
        <v>39</v>
      </c>
      <c r="B100" s="3" t="s">
        <v>39</v>
      </c>
      <c r="C100" s="1">
        <v>0</v>
      </c>
      <c r="D100" s="1">
        <v>1</v>
      </c>
      <c r="E100" s="1">
        <v>0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>
        <v>1</v>
      </c>
      <c r="Q100" s="1">
        <v>1</v>
      </c>
      <c r="R100">
        <f t="shared" si="6"/>
        <v>86.666666666666671</v>
      </c>
    </row>
    <row r="101" spans="1:18" x14ac:dyDescent="0.35">
      <c r="A101" s="2">
        <v>40</v>
      </c>
      <c r="B101" s="3" t="s">
        <v>40</v>
      </c>
      <c r="C101" s="1">
        <v>1</v>
      </c>
      <c r="D101" s="1">
        <v>1</v>
      </c>
      <c r="E101" s="1">
        <v>1</v>
      </c>
      <c r="F101" s="1">
        <v>1</v>
      </c>
      <c r="G101" s="1">
        <v>1</v>
      </c>
      <c r="H101" s="1">
        <v>1</v>
      </c>
      <c r="I101" s="1">
        <v>1</v>
      </c>
      <c r="J101" s="1">
        <v>0</v>
      </c>
      <c r="K101" s="1">
        <v>1</v>
      </c>
      <c r="L101" s="1">
        <v>1</v>
      </c>
      <c r="M101" s="1">
        <v>1</v>
      </c>
      <c r="N101" s="1">
        <v>1</v>
      </c>
      <c r="O101" s="1">
        <v>1</v>
      </c>
      <c r="P101" s="1">
        <v>1</v>
      </c>
      <c r="Q101" s="1">
        <v>1</v>
      </c>
      <c r="R101">
        <f t="shared" si="6"/>
        <v>93.333333333333329</v>
      </c>
    </row>
    <row r="102" spans="1:18" x14ac:dyDescent="0.35">
      <c r="A102" s="2">
        <v>41</v>
      </c>
      <c r="B102" s="3" t="s">
        <v>41</v>
      </c>
      <c r="C102" s="1">
        <v>1</v>
      </c>
      <c r="D102" s="1">
        <v>1</v>
      </c>
      <c r="E102" s="1">
        <v>1</v>
      </c>
      <c r="F102" s="1">
        <v>1</v>
      </c>
      <c r="G102" s="1">
        <v>1</v>
      </c>
      <c r="H102" s="1">
        <v>1</v>
      </c>
      <c r="I102" s="1">
        <v>1</v>
      </c>
      <c r="J102" s="1">
        <v>1</v>
      </c>
      <c r="K102" s="1">
        <v>1</v>
      </c>
      <c r="L102" s="1">
        <v>1</v>
      </c>
      <c r="M102" s="1">
        <v>1</v>
      </c>
      <c r="N102" s="1">
        <v>1</v>
      </c>
      <c r="O102" s="1">
        <v>1</v>
      </c>
      <c r="P102" s="1">
        <v>1</v>
      </c>
      <c r="Q102" s="1">
        <v>1</v>
      </c>
      <c r="R102">
        <f t="shared" si="6"/>
        <v>100</v>
      </c>
    </row>
    <row r="103" spans="1:18" x14ac:dyDescent="0.35">
      <c r="A103" s="2">
        <v>42</v>
      </c>
      <c r="B103" s="3" t="s">
        <v>42</v>
      </c>
      <c r="C103" s="1">
        <v>1</v>
      </c>
      <c r="D103" s="1">
        <v>1</v>
      </c>
      <c r="E103" s="1">
        <v>1</v>
      </c>
      <c r="F103" s="1">
        <v>1</v>
      </c>
      <c r="G103" s="1">
        <v>1</v>
      </c>
      <c r="H103" s="1">
        <v>1</v>
      </c>
      <c r="I103" s="1">
        <v>1</v>
      </c>
      <c r="J103" s="1">
        <v>1</v>
      </c>
      <c r="K103" s="1">
        <v>1</v>
      </c>
      <c r="L103" s="1">
        <v>1</v>
      </c>
      <c r="M103" s="1">
        <v>1</v>
      </c>
      <c r="N103" s="1">
        <v>1</v>
      </c>
      <c r="O103" s="1">
        <v>1</v>
      </c>
      <c r="P103" s="1">
        <v>1</v>
      </c>
      <c r="Q103" s="1">
        <v>1</v>
      </c>
      <c r="R103">
        <f t="shared" si="6"/>
        <v>100</v>
      </c>
    </row>
    <row r="104" spans="1:18" x14ac:dyDescent="0.35">
      <c r="A104" s="2">
        <v>43</v>
      </c>
      <c r="B104" s="3" t="s">
        <v>43</v>
      </c>
      <c r="C104" s="1">
        <v>1</v>
      </c>
      <c r="D104" s="1">
        <v>1</v>
      </c>
      <c r="E104" s="1">
        <v>1</v>
      </c>
      <c r="F104" s="1">
        <v>1</v>
      </c>
      <c r="G104" s="1">
        <v>1</v>
      </c>
      <c r="H104" s="1">
        <v>1</v>
      </c>
      <c r="I104" s="1">
        <v>1</v>
      </c>
      <c r="J104" s="1">
        <v>1</v>
      </c>
      <c r="K104" s="1">
        <v>1</v>
      </c>
      <c r="L104" s="1">
        <v>1</v>
      </c>
      <c r="M104" s="1">
        <v>1</v>
      </c>
      <c r="N104" s="1">
        <v>1</v>
      </c>
      <c r="O104" s="1">
        <v>1</v>
      </c>
      <c r="P104" s="1">
        <v>1</v>
      </c>
      <c r="Q104" s="1">
        <v>1</v>
      </c>
      <c r="R104">
        <f t="shared" si="6"/>
        <v>100</v>
      </c>
    </row>
    <row r="105" spans="1:18" x14ac:dyDescent="0.35">
      <c r="A105" s="2">
        <v>44</v>
      </c>
      <c r="B105" s="3" t="s">
        <v>71</v>
      </c>
      <c r="C105" s="1">
        <v>1</v>
      </c>
      <c r="D105" s="1">
        <v>1</v>
      </c>
      <c r="E105" s="1">
        <v>1</v>
      </c>
      <c r="F105" s="1">
        <v>1</v>
      </c>
      <c r="G105" s="1">
        <v>1</v>
      </c>
      <c r="H105" s="1">
        <v>1</v>
      </c>
      <c r="I105" s="1">
        <v>1</v>
      </c>
      <c r="J105" s="1">
        <v>1</v>
      </c>
      <c r="K105" s="1">
        <v>1</v>
      </c>
      <c r="L105" s="1">
        <v>1</v>
      </c>
      <c r="M105" s="1">
        <v>1</v>
      </c>
      <c r="N105" s="1">
        <v>1</v>
      </c>
      <c r="O105" s="1">
        <v>1</v>
      </c>
      <c r="P105" s="1">
        <v>1</v>
      </c>
      <c r="Q105" s="1">
        <v>1</v>
      </c>
      <c r="R105">
        <f t="shared" si="6"/>
        <v>100</v>
      </c>
    </row>
    <row r="106" spans="1:18" x14ac:dyDescent="0.35">
      <c r="A106" s="31" t="s">
        <v>129</v>
      </c>
      <c r="B106" s="33"/>
      <c r="C106" s="1">
        <f t="shared" ref="C106:Q106" si="7">AVERAGE(C62:C105)</f>
        <v>0.90909090909090906</v>
      </c>
      <c r="D106" s="1">
        <f t="shared" si="7"/>
        <v>0.84090909090909094</v>
      </c>
      <c r="E106" s="1">
        <f t="shared" si="7"/>
        <v>0.88636363636363635</v>
      </c>
      <c r="F106" s="1">
        <f t="shared" si="7"/>
        <v>0.88636363636363635</v>
      </c>
      <c r="G106" s="1">
        <f t="shared" si="7"/>
        <v>0.90909090909090906</v>
      </c>
      <c r="H106" s="1">
        <f t="shared" si="7"/>
        <v>1</v>
      </c>
      <c r="I106" s="1">
        <f t="shared" si="7"/>
        <v>0.95454545454545459</v>
      </c>
      <c r="J106" s="1">
        <f t="shared" si="7"/>
        <v>0.86363636363636365</v>
      </c>
      <c r="K106" s="1">
        <f t="shared" si="7"/>
        <v>0.86363636363636365</v>
      </c>
      <c r="L106" s="1">
        <f t="shared" si="7"/>
        <v>0.97727272727272729</v>
      </c>
      <c r="M106" s="1">
        <f t="shared" si="7"/>
        <v>0.90909090909090906</v>
      </c>
      <c r="N106" s="1">
        <f t="shared" si="7"/>
        <v>0.95454545454545459</v>
      </c>
      <c r="O106" s="1">
        <f t="shared" si="7"/>
        <v>0.97727272727272729</v>
      </c>
      <c r="P106" s="1">
        <f t="shared" si="7"/>
        <v>0.88636363636363635</v>
      </c>
      <c r="Q106" s="1">
        <f t="shared" si="7"/>
        <v>0.93181818181818177</v>
      </c>
    </row>
    <row r="107" spans="1:18" x14ac:dyDescent="0.35">
      <c r="A107" s="31" t="s">
        <v>130</v>
      </c>
      <c r="B107" s="33"/>
      <c r="C107" s="1">
        <f t="shared" ref="C107:Q107" si="8">STDEV(C62:C105)</f>
        <v>0.29080336345115249</v>
      </c>
      <c r="D107" s="1">
        <f t="shared" si="8"/>
        <v>0.36998942902446824</v>
      </c>
      <c r="E107" s="1">
        <f t="shared" si="8"/>
        <v>0.32103822064055038</v>
      </c>
      <c r="F107" s="1">
        <f t="shared" si="8"/>
        <v>0.32103822064055038</v>
      </c>
      <c r="G107" s="1">
        <f t="shared" si="8"/>
        <v>0.29080336345115249</v>
      </c>
      <c r="H107" s="1">
        <f t="shared" si="8"/>
        <v>0</v>
      </c>
      <c r="I107" s="1">
        <f t="shared" si="8"/>
        <v>0.21070705494148531</v>
      </c>
      <c r="J107" s="1">
        <f t="shared" si="8"/>
        <v>0.3471417571787741</v>
      </c>
      <c r="K107" s="1">
        <f t="shared" si="8"/>
        <v>0.3471417571787741</v>
      </c>
      <c r="L107" s="1">
        <f t="shared" si="8"/>
        <v>0.15075567228888176</v>
      </c>
      <c r="M107" s="1">
        <f t="shared" si="8"/>
        <v>0.29080336345115249</v>
      </c>
      <c r="N107" s="1">
        <f t="shared" si="8"/>
        <v>0.21070705494148531</v>
      </c>
      <c r="O107" s="1">
        <f t="shared" si="8"/>
        <v>0.15075567228888176</v>
      </c>
      <c r="P107" s="1">
        <f t="shared" si="8"/>
        <v>0.32103822064055038</v>
      </c>
      <c r="Q107" s="1">
        <f t="shared" si="8"/>
        <v>0.25497170592935275</v>
      </c>
    </row>
  </sheetData>
  <mergeCells count="13">
    <mergeCell ref="T50:U50"/>
    <mergeCell ref="T51:U51"/>
    <mergeCell ref="C2:AP2"/>
    <mergeCell ref="T4:AN5"/>
    <mergeCell ref="A3:B4"/>
    <mergeCell ref="C4:Q4"/>
    <mergeCell ref="A106:B106"/>
    <mergeCell ref="A107:B107"/>
    <mergeCell ref="C59:Q59"/>
    <mergeCell ref="C61:Q61"/>
    <mergeCell ref="A49:B49"/>
    <mergeCell ref="A50:B50"/>
    <mergeCell ref="C56:Q56"/>
  </mergeCells>
  <hyperlinks>
    <hyperlink ref="B5" r:id="rId1" xr:uid="{DA3E11B8-15E4-4127-A0EC-7C962704CF47}"/>
    <hyperlink ref="B6" r:id="rId2" xr:uid="{7A0C44EF-600C-4BBF-B8EA-6F040E3E27A7}"/>
    <hyperlink ref="B7" r:id="rId3" xr:uid="{A981671E-639E-41A9-8176-4A536DD5CD53}"/>
    <hyperlink ref="B8" r:id="rId4" xr:uid="{42783828-389F-467F-ABCB-12BDE812042F}"/>
    <hyperlink ref="B9" r:id="rId5" xr:uid="{B41D2DE0-DA2F-4D76-A864-36A47517BD2E}"/>
    <hyperlink ref="B10" r:id="rId6" xr:uid="{3F6CD5D2-B6E4-4F16-A1BB-719ACE8BC685}"/>
    <hyperlink ref="B11" r:id="rId7" xr:uid="{6EF4B1A0-8398-46AA-BFDE-E5A93C9CB39C}"/>
    <hyperlink ref="B12" r:id="rId8" xr:uid="{3B56E3D7-7B27-4E93-BB22-2C67FB8E5E3C}"/>
    <hyperlink ref="B13" r:id="rId9" xr:uid="{1F8949EB-386B-49AC-A7F5-6D7C06A7692C}"/>
    <hyperlink ref="B14" r:id="rId10" xr:uid="{F37B1BC6-1CC3-43D7-898B-6E11ACBC4F4F}"/>
    <hyperlink ref="B15" r:id="rId11" xr:uid="{B9FFD0FA-9D39-4B0B-883E-600F877FAD98}"/>
    <hyperlink ref="B16" r:id="rId12" xr:uid="{6CFE7E8B-3361-4664-B462-AF1F8A5072C5}"/>
    <hyperlink ref="B17" r:id="rId13" xr:uid="{B8D1537F-592A-4F06-8DBC-2E25B7CC2AEE}"/>
    <hyperlink ref="B18" r:id="rId14" xr:uid="{A4A0AF42-5AA6-4908-B592-DCA706D1B09D}"/>
    <hyperlink ref="B19" r:id="rId15" xr:uid="{70F48568-9A57-4D6D-97DF-7F82AE5A478A}"/>
    <hyperlink ref="B20" r:id="rId16" xr:uid="{ABCAA65C-F147-4D11-8189-1B4A681F9867}"/>
    <hyperlink ref="B21" r:id="rId17" xr:uid="{E17F4D19-2FC8-4A6A-A4D5-8ED86EE2E9E6}"/>
    <hyperlink ref="B22" r:id="rId18" xr:uid="{0573FA87-379B-4EF3-A7DC-37ADB5181A8B}"/>
    <hyperlink ref="B23" r:id="rId19" xr:uid="{01071F31-7158-409F-AAEF-6B6D04BC2A1D}"/>
    <hyperlink ref="B24" r:id="rId20" xr:uid="{6E5D15C5-A2ED-4F7F-B1F0-C71764FF4CBE}"/>
    <hyperlink ref="B25" r:id="rId21" xr:uid="{0B0C0BF6-A850-4F99-9492-447B1B3A527E}"/>
    <hyperlink ref="B26" r:id="rId22" xr:uid="{506B4405-52F6-4BAA-AF61-066374A9166C}"/>
    <hyperlink ref="B27" r:id="rId23" xr:uid="{22F858F3-F39E-41C9-8ECC-A0D2A2688E94}"/>
    <hyperlink ref="B28" r:id="rId24" xr:uid="{401AD764-69F9-4A97-A4DC-F92B06FEE035}"/>
    <hyperlink ref="B29" r:id="rId25" xr:uid="{34AE79B3-F0A4-43E7-9463-E86D4E5443BC}"/>
    <hyperlink ref="B30" r:id="rId26" xr:uid="{B8AC737C-EA15-4BDA-B634-2EA206566BB3}"/>
    <hyperlink ref="B31" r:id="rId27" xr:uid="{4D8D4397-5F04-4B51-BE1B-312207BDF42C}"/>
    <hyperlink ref="B32" r:id="rId28" xr:uid="{6C79953B-FCC3-4BFF-867D-8D79AE19D214}"/>
    <hyperlink ref="B33" r:id="rId29" xr:uid="{FF907617-26DA-44CB-8044-C79A6CA303D5}"/>
    <hyperlink ref="B34" r:id="rId30" xr:uid="{142A7E2A-5883-4C0A-BB06-123ABBC13D92}"/>
    <hyperlink ref="B35" r:id="rId31" xr:uid="{88AC371A-FEF3-440C-9818-0A8FD1901FB5}"/>
    <hyperlink ref="B36" r:id="rId32" xr:uid="{8CDDEA24-A2AE-4CCF-B409-B116C3BEB17F}"/>
    <hyperlink ref="B37" r:id="rId33" xr:uid="{EE656331-AC75-4585-B417-6B118D266B51}"/>
    <hyperlink ref="B38" r:id="rId34" xr:uid="{60130911-9EE6-4C2F-9F04-247C9896E5BC}"/>
    <hyperlink ref="B39" r:id="rId35" xr:uid="{D2F4A45C-77D2-4194-B1AE-701C842F44A4}"/>
    <hyperlink ref="B40" r:id="rId36" xr:uid="{39CE7CA1-D451-4931-989F-C1D649BA1A5B}"/>
    <hyperlink ref="B41" r:id="rId37" xr:uid="{46B3DBF6-734F-450F-87D9-3DC6EA49F7F2}"/>
    <hyperlink ref="B42" r:id="rId38" xr:uid="{4FD43E49-B7A0-4D01-9A24-3C94D3A65853}"/>
    <hyperlink ref="B43" r:id="rId39" xr:uid="{AB4F4960-1BDB-460B-8033-7F85EE87B0C3}"/>
    <hyperlink ref="B44" r:id="rId40" xr:uid="{C7F2C294-57A5-4B5B-A0EC-7ACBCE41D433}"/>
    <hyperlink ref="B45" r:id="rId41" xr:uid="{9927295C-AD2B-4E32-AE88-73915C971161}"/>
    <hyperlink ref="B46" r:id="rId42" xr:uid="{F730E8CB-B21E-4AF4-B513-6299F0F5FAB6}"/>
    <hyperlink ref="B47" r:id="rId43" xr:uid="{9C4ED004-AF37-4D87-987C-71B7B6F22FC8}"/>
    <hyperlink ref="B48" r:id="rId44" xr:uid="{519CF48C-A72C-4F4F-82E5-3B16F693B4BB}"/>
    <hyperlink ref="B62" r:id="rId45" xr:uid="{4F861071-B83A-4356-A1C4-28E2340D5547}"/>
    <hyperlink ref="B63" r:id="rId46" xr:uid="{67C2316F-2AA3-4692-9C30-88D6EB040950}"/>
    <hyperlink ref="B64" r:id="rId47" xr:uid="{947A3BAF-67CD-4D79-8A54-44AC3BEEF5D6}"/>
    <hyperlink ref="B65" r:id="rId48" xr:uid="{E67FEC3C-2A1D-47CE-B250-1370302B7610}"/>
    <hyperlink ref="B66" r:id="rId49" xr:uid="{F64CCD09-EDCF-44E1-AA35-934ED34AB75D}"/>
    <hyperlink ref="B67" r:id="rId50" xr:uid="{2CD6670D-47F5-48FC-B993-981D2FDBFCDA}"/>
    <hyperlink ref="B68" r:id="rId51" xr:uid="{C7EA86EB-1CFF-4E9A-B0C8-53C968D5F574}"/>
    <hyperlink ref="B69" r:id="rId52" xr:uid="{D32DF548-B217-4B6A-B0AD-6B503729D34C}"/>
    <hyperlink ref="B70" r:id="rId53" xr:uid="{6383A1E4-DD0D-45AE-A6E9-2CE85CE90908}"/>
    <hyperlink ref="B71" r:id="rId54" xr:uid="{C37056CE-A485-4099-8888-24A1B207359A}"/>
    <hyperlink ref="B72" r:id="rId55" xr:uid="{0C19A3A3-F469-44CD-B457-2E60D59D6776}"/>
    <hyperlink ref="B73" r:id="rId56" xr:uid="{EC559B34-0EB8-4836-9B5D-0030019EEF1C}"/>
    <hyperlink ref="B74" r:id="rId57" xr:uid="{C44FA2E1-05CE-42BE-8B4C-7B54E4EF7CB5}"/>
    <hyperlink ref="B75" r:id="rId58" xr:uid="{83CB4D20-B20C-4809-AFC1-F6280697ADEB}"/>
    <hyperlink ref="B76" r:id="rId59" xr:uid="{9347FA84-7FB2-4B8A-BCFD-EE9E3953C62D}"/>
    <hyperlink ref="B77" r:id="rId60" xr:uid="{DE5FBEAB-4BCE-44A2-9475-62A6ECA29FCF}"/>
    <hyperlink ref="B78" r:id="rId61" xr:uid="{CA9A4021-6C52-4877-922C-DDD3FB77E1DB}"/>
    <hyperlink ref="B79" r:id="rId62" xr:uid="{70B69CD0-1EC7-497A-8D57-97319710A8A5}"/>
    <hyperlink ref="B80" r:id="rId63" xr:uid="{D95C983D-7151-454E-913B-2F268FFA1BC8}"/>
    <hyperlink ref="B81" r:id="rId64" xr:uid="{EE5A95B7-9CCB-4EC8-B055-DA5674E37529}"/>
    <hyperlink ref="B82" r:id="rId65" xr:uid="{B506939D-5D79-4474-92D2-1D7C8AA4BF6C}"/>
    <hyperlink ref="B83" r:id="rId66" xr:uid="{1689E529-A946-4C8E-80A6-B70A046100A4}"/>
    <hyperlink ref="B84" r:id="rId67" xr:uid="{93D47F8D-D252-454C-B7A8-62288AE36134}"/>
    <hyperlink ref="B85" r:id="rId68" xr:uid="{73EEE70C-6384-40F6-B252-A54BFD2C5A73}"/>
    <hyperlink ref="B86" r:id="rId69" xr:uid="{16A8009E-D48D-4415-B2D5-200DBDE57524}"/>
    <hyperlink ref="B87" r:id="rId70" xr:uid="{A1424F51-BB76-401F-B704-DFE19B8AE632}"/>
    <hyperlink ref="B88" r:id="rId71" xr:uid="{C4DC434D-B95F-4778-BC65-0AF7A6795C93}"/>
    <hyperlink ref="B89" r:id="rId72" xr:uid="{54DCCE8C-7ACA-4CFB-8217-E62C58A56D49}"/>
    <hyperlink ref="B90" r:id="rId73" xr:uid="{AF269C1B-E23E-4218-B0FF-DF85E75EC825}"/>
    <hyperlink ref="B91" r:id="rId74" xr:uid="{835C0885-3C4E-4ED8-8003-901DF3D42099}"/>
    <hyperlink ref="B92" r:id="rId75" xr:uid="{28AB5608-072B-4800-BBEA-31D945E2043B}"/>
    <hyperlink ref="B93" r:id="rId76" xr:uid="{0D9A03D1-D22F-4B47-A2B3-63AEBC463339}"/>
    <hyperlink ref="B94" r:id="rId77" xr:uid="{CA530D0D-CB49-4D43-B8C6-45E9FD32AC60}"/>
    <hyperlink ref="B95" r:id="rId78" xr:uid="{3962E375-08C9-4D14-9969-30AD692BBB1A}"/>
    <hyperlink ref="B96" r:id="rId79" xr:uid="{377B02EA-C55F-4176-A0D7-76DA32B8FBC4}"/>
    <hyperlink ref="B97" r:id="rId80" xr:uid="{4D7748D4-2DF5-4206-A74C-A13DE79DED66}"/>
    <hyperlink ref="B98" r:id="rId81" xr:uid="{CA166BAB-9651-4875-8B0C-19BEAE6A1065}"/>
    <hyperlink ref="B99" r:id="rId82" xr:uid="{F6F25416-C676-4D6B-92CA-F672D5CD2131}"/>
    <hyperlink ref="B100" r:id="rId83" xr:uid="{ECAD80E2-4F0D-4646-974E-1F91C92DEB73}"/>
    <hyperlink ref="B101" r:id="rId84" xr:uid="{D79F8D87-A6A3-4A26-8C2D-BE3233151C2C}"/>
    <hyperlink ref="B102" r:id="rId85" xr:uid="{A5830FE2-A0D7-49B8-9873-30480053126C}"/>
    <hyperlink ref="B103" r:id="rId86" xr:uid="{5D65C7C6-AC56-4E2A-B537-698C0C52FC54}"/>
    <hyperlink ref="B104" r:id="rId87" xr:uid="{5458DABC-B04E-4DF1-84BF-CAA8C33337F7}"/>
    <hyperlink ref="B105" r:id="rId88" xr:uid="{FD076E02-CDD7-4FC1-9984-9A30EDEF267F}"/>
    <hyperlink ref="U6" r:id="rId89" xr:uid="{3B653781-F568-4C12-88C6-3E9D221508B4}"/>
    <hyperlink ref="U7" r:id="rId90" xr:uid="{DAE31D47-A4B8-494D-B2B3-81951872E17E}"/>
    <hyperlink ref="U8" r:id="rId91" xr:uid="{95116F90-E050-4441-8000-C78596C6BF97}"/>
    <hyperlink ref="U9" r:id="rId92" xr:uid="{938476BB-A96C-48B8-B8C6-A742506EC2A0}"/>
    <hyperlink ref="U10" r:id="rId93" xr:uid="{73ADDE1C-AF3D-4755-A52D-A9C571A6D0B4}"/>
    <hyperlink ref="U11" r:id="rId94" xr:uid="{2A90CDDE-502E-41C0-8015-9047ABDE032D}"/>
    <hyperlink ref="U12" r:id="rId95" xr:uid="{A99CDAD6-4576-43CE-B2FE-138E1688CCF3}"/>
    <hyperlink ref="U13" r:id="rId96" xr:uid="{B55C45EC-D5A5-4A51-A41B-047D73B32996}"/>
    <hyperlink ref="U14" r:id="rId97" xr:uid="{9CB24832-4398-4410-B5DB-B4DB21BD0651}"/>
    <hyperlink ref="U15" r:id="rId98" xr:uid="{C3A38378-AE5E-4EA7-BB52-031B56A8F271}"/>
    <hyperlink ref="U16" r:id="rId99" xr:uid="{03048EE5-B879-4546-AA19-DDDB27CED015}"/>
    <hyperlink ref="U17" r:id="rId100" xr:uid="{74D5B5BA-D376-4751-8E6F-A2808D5F7D70}"/>
    <hyperlink ref="U18" r:id="rId101" xr:uid="{4F007006-9EBF-4689-9D78-2619A811E78E}"/>
    <hyperlink ref="U19" r:id="rId102" xr:uid="{3E6771AF-A479-4A03-BFC3-5C5E1DE99D89}"/>
    <hyperlink ref="U20" r:id="rId103" xr:uid="{3D0CFFDA-6B6B-4210-89AF-313D787D47FA}"/>
    <hyperlink ref="U21" r:id="rId104" xr:uid="{CBE01D47-5BA5-428E-909F-02BD03D2BC95}"/>
    <hyperlink ref="U22" r:id="rId105" xr:uid="{33D48B36-782D-46E8-A8A3-EF3E6C58D800}"/>
    <hyperlink ref="U23" r:id="rId106" xr:uid="{814FBC6D-A724-4590-84AC-684088532747}"/>
    <hyperlink ref="U24" r:id="rId107" xr:uid="{92B7BBE5-1219-4413-8B32-C0983EFF8D7B}"/>
    <hyperlink ref="U25" r:id="rId108" xr:uid="{F6CE7E49-732E-42CF-9FEF-063B6135D01B}"/>
    <hyperlink ref="U26" r:id="rId109" xr:uid="{44C615AD-49D3-4DAB-8A15-765664E2EA11}"/>
    <hyperlink ref="U27" r:id="rId110" xr:uid="{3A4E33B7-664F-4BAB-93E1-866330063EDE}"/>
    <hyperlink ref="U28" r:id="rId111" xr:uid="{E0A7BF43-B46B-45B9-AC42-A03A5812A639}"/>
    <hyperlink ref="U29" r:id="rId112" xr:uid="{5073FE75-B2A3-4FB4-B040-52318CB2C0C6}"/>
    <hyperlink ref="U30" r:id="rId113" xr:uid="{569A980B-5ECE-424E-A48E-C88BA1CCD0D7}"/>
    <hyperlink ref="U31" r:id="rId114" xr:uid="{0C3089C0-5EC9-4D4B-B5E6-A45AF66B55E6}"/>
    <hyperlink ref="U32" r:id="rId115" xr:uid="{C1710450-D6E7-4A3B-8BCB-8652F16F2D5E}"/>
    <hyperlink ref="U33" r:id="rId116" xr:uid="{CD3FE7CD-9C47-45D7-8052-9DA716F8476F}"/>
    <hyperlink ref="U34" r:id="rId117" xr:uid="{D2DA2682-7AC5-40FA-94DE-EF6B5BB4027E}"/>
    <hyperlink ref="U35" r:id="rId118" xr:uid="{B4D864EA-C1D2-43CC-A3AC-3C825242303E}"/>
    <hyperlink ref="U36" r:id="rId119" xr:uid="{DCD1BE3B-9ED6-46C7-8AE2-29C13D181C67}"/>
    <hyperlink ref="U37" r:id="rId120" xr:uid="{1C26E2AB-6A64-47AA-89EE-D967F6F9AE9C}"/>
    <hyperlink ref="U38" r:id="rId121" xr:uid="{9FE40AB4-8A0B-4ACE-930D-BF588570ECFE}"/>
    <hyperlink ref="U39" r:id="rId122" xr:uid="{7EE8F675-7340-44E9-9577-F8E22AA6D110}"/>
    <hyperlink ref="U40" r:id="rId123" xr:uid="{1534E555-6CCA-47EA-9027-618F6485F7AF}"/>
    <hyperlink ref="U41" r:id="rId124" xr:uid="{EFC11B1A-E3AD-467B-BFA0-5D1BE7B0A602}"/>
    <hyperlink ref="U42" r:id="rId125" xr:uid="{968591C5-50C9-4F6C-B9C3-6F978C248A24}"/>
    <hyperlink ref="U43" r:id="rId126" xr:uid="{7B8650E8-668F-43B7-8C16-BF3271A69B71}"/>
    <hyperlink ref="U44" r:id="rId127" xr:uid="{240F9AFD-CB78-4679-998D-8B5E29176537}"/>
    <hyperlink ref="U45" r:id="rId128" xr:uid="{A958A420-4673-48B4-8DD1-DB1CBD8287E9}"/>
    <hyperlink ref="U46" r:id="rId129" xr:uid="{BB13876D-8D19-4E4D-98B2-714864BA33DD}"/>
    <hyperlink ref="U47" r:id="rId130" xr:uid="{4E12BB14-3AE4-45C4-BAF8-03E60E04BD6D}"/>
    <hyperlink ref="U48" r:id="rId131" xr:uid="{9465BA9A-ED95-41A5-8DAC-D12FDEEFEAB4}"/>
    <hyperlink ref="U49" r:id="rId132" xr:uid="{6EE5D18C-A700-4739-BF38-39ED62A4DBC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788F2-1B1F-4DF3-ACCB-B514526180DC}">
  <dimension ref="A1:U37"/>
  <sheetViews>
    <sheetView topLeftCell="A20" zoomScale="80" workbookViewId="0">
      <selection activeCell="S1" sqref="S1"/>
    </sheetView>
  </sheetViews>
  <sheetFormatPr defaultRowHeight="14.5" x14ac:dyDescent="0.35"/>
  <cols>
    <col min="1" max="1" width="9.36328125" bestFit="1" customWidth="1"/>
    <col min="16" max="16" width="15.7265625" customWidth="1"/>
  </cols>
  <sheetData>
    <row r="1" spans="1:21" ht="23.5" x14ac:dyDescent="0.55000000000000004">
      <c r="A1" s="41" t="s">
        <v>132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2"/>
      <c r="Q1" s="13"/>
    </row>
    <row r="2" spans="1:21" x14ac:dyDescent="0.35">
      <c r="A2" s="2" t="s">
        <v>131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s">
        <v>51</v>
      </c>
      <c r="I2" s="2" t="s">
        <v>52</v>
      </c>
      <c r="J2" s="2" t="s">
        <v>53</v>
      </c>
      <c r="K2" s="2" t="s">
        <v>54</v>
      </c>
      <c r="L2" s="2" t="s">
        <v>55</v>
      </c>
      <c r="M2" s="2" t="s">
        <v>56</v>
      </c>
      <c r="N2" s="2" t="s">
        <v>57</v>
      </c>
      <c r="O2" s="2" t="s">
        <v>58</v>
      </c>
      <c r="P2" s="2" t="s">
        <v>59</v>
      </c>
      <c r="Q2" s="14" t="s">
        <v>141</v>
      </c>
    </row>
    <row r="3" spans="1:21" x14ac:dyDescent="0.35">
      <c r="A3" s="1" t="s">
        <v>129</v>
      </c>
      <c r="B3" s="1">
        <v>3.2272727269999999</v>
      </c>
      <c r="C3" s="1">
        <v>2.9090909090000001</v>
      </c>
      <c r="D3" s="1">
        <v>2.863636364</v>
      </c>
      <c r="E3" s="1">
        <v>3.613636364</v>
      </c>
      <c r="F3" s="1">
        <v>3.5</v>
      </c>
      <c r="G3" s="1">
        <v>3.7272727269999999</v>
      </c>
      <c r="H3" s="1">
        <v>4</v>
      </c>
      <c r="I3" s="1">
        <v>3.4772727269999999</v>
      </c>
      <c r="J3" s="1">
        <v>3.363636364</v>
      </c>
      <c r="K3" s="1">
        <v>3.7727272730000001</v>
      </c>
      <c r="L3" s="1">
        <v>3.3409090909999999</v>
      </c>
      <c r="M3" s="1">
        <v>3.0681818179999998</v>
      </c>
      <c r="N3" s="1">
        <v>3.4318181820000002</v>
      </c>
      <c r="O3" s="1">
        <v>3.7954545450000001</v>
      </c>
      <c r="P3" s="1">
        <v>3.636363636</v>
      </c>
      <c r="Q3">
        <f>AVERAGE(B3:P3)</f>
        <v>3.4484848484666668</v>
      </c>
    </row>
    <row r="4" spans="1:21" x14ac:dyDescent="0.35">
      <c r="A4" s="1" t="s">
        <v>130</v>
      </c>
      <c r="B4" s="1">
        <f>AVERAGE(B3:P3)</f>
        <v>3.4484848484666668</v>
      </c>
      <c r="C4" s="1">
        <v>0.77213632399999999</v>
      </c>
      <c r="D4" s="1">
        <v>0.82380030000000004</v>
      </c>
      <c r="E4" s="1">
        <v>1.2240973719999999</v>
      </c>
      <c r="F4" s="1">
        <v>0.97646729200000004</v>
      </c>
      <c r="G4" s="1">
        <v>1.6755927289999999</v>
      </c>
      <c r="H4" s="1">
        <v>1.570068877</v>
      </c>
      <c r="I4" s="1">
        <v>1.4384849319999999</v>
      </c>
      <c r="J4" s="1">
        <v>1.4799577159999999</v>
      </c>
      <c r="K4" s="1">
        <v>1.5229047579999999</v>
      </c>
      <c r="L4" s="1">
        <v>1.0984805959999999</v>
      </c>
      <c r="M4" s="1">
        <v>1.169331498</v>
      </c>
      <c r="N4" s="1">
        <v>1.531038973</v>
      </c>
      <c r="O4" s="1">
        <v>1.6646746379999999</v>
      </c>
      <c r="P4" s="1">
        <v>1.382463408</v>
      </c>
    </row>
    <row r="5" spans="1:21" ht="23.5" x14ac:dyDescent="0.55000000000000004">
      <c r="A5" s="55" t="s">
        <v>133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6"/>
    </row>
    <row r="6" spans="1:21" x14ac:dyDescent="0.35">
      <c r="A6" s="2" t="s">
        <v>131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52</v>
      </c>
      <c r="J6" s="2" t="s">
        <v>53</v>
      </c>
      <c r="K6" s="2" t="s">
        <v>54</v>
      </c>
      <c r="L6" s="2" t="s">
        <v>55</v>
      </c>
      <c r="M6" s="2" t="s">
        <v>56</v>
      </c>
      <c r="N6" s="2" t="s">
        <v>57</v>
      </c>
      <c r="O6" s="2" t="s">
        <v>58</v>
      </c>
      <c r="P6" s="2" t="s">
        <v>59</v>
      </c>
      <c r="Q6" s="14" t="s">
        <v>141</v>
      </c>
    </row>
    <row r="7" spans="1:21" x14ac:dyDescent="0.35">
      <c r="A7" s="1" t="s">
        <v>129</v>
      </c>
      <c r="B7" s="1">
        <v>0.909090909</v>
      </c>
      <c r="C7" s="1">
        <v>0.840909091</v>
      </c>
      <c r="D7" s="1">
        <v>0.95454545499999999</v>
      </c>
      <c r="E7" s="1">
        <v>0.88636363600000001</v>
      </c>
      <c r="F7" s="1">
        <v>0.72727272700000001</v>
      </c>
      <c r="G7" s="1">
        <v>0.79545454500000001</v>
      </c>
      <c r="H7" s="1">
        <v>0.909090909</v>
      </c>
      <c r="I7" s="1">
        <v>0.81818181800000001</v>
      </c>
      <c r="J7" s="1">
        <v>0.81818181800000001</v>
      </c>
      <c r="K7" s="1">
        <v>0.909090909</v>
      </c>
      <c r="L7" s="1">
        <v>0.93181818199999999</v>
      </c>
      <c r="M7" s="1">
        <v>0.93181818199999999</v>
      </c>
      <c r="N7" s="1">
        <v>0.95454545499999999</v>
      </c>
      <c r="O7" s="1">
        <v>1</v>
      </c>
      <c r="P7" s="1">
        <v>0.79545454500000001</v>
      </c>
      <c r="Q7">
        <f>AVERAGE(B7:P7)</f>
        <v>0.87878787873333353</v>
      </c>
    </row>
    <row r="8" spans="1:21" x14ac:dyDescent="0.35">
      <c r="A8" s="1" t="s">
        <v>130</v>
      </c>
      <c r="B8" s="1">
        <v>0.29080336299999998</v>
      </c>
      <c r="C8" s="1">
        <v>0.36998942899999998</v>
      </c>
      <c r="D8" s="1">
        <v>0.210707055</v>
      </c>
      <c r="E8" s="1">
        <v>0.32103822100000001</v>
      </c>
      <c r="F8" s="1">
        <v>0.45051063299999999</v>
      </c>
      <c r="G8" s="1">
        <v>0.40803245700000002</v>
      </c>
      <c r="H8" s="1">
        <v>0.29080336299999998</v>
      </c>
      <c r="I8" s="1">
        <v>0.39015365299999999</v>
      </c>
      <c r="J8" s="1">
        <v>0.39015365299999999</v>
      </c>
      <c r="K8" s="1">
        <v>0.29080336299999998</v>
      </c>
      <c r="L8" s="1">
        <v>0.25497170600000002</v>
      </c>
      <c r="M8" s="1">
        <v>0.25497170600000002</v>
      </c>
      <c r="N8" s="1">
        <v>0.210707055</v>
      </c>
      <c r="O8" s="1">
        <v>0</v>
      </c>
      <c r="P8" s="1">
        <v>0.40803245700000002</v>
      </c>
    </row>
    <row r="9" spans="1:21" ht="23.5" x14ac:dyDescent="0.55000000000000004">
      <c r="A9" s="53" t="s">
        <v>134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</row>
    <row r="10" spans="1:21" x14ac:dyDescent="0.35">
      <c r="A10" s="20" t="s">
        <v>131</v>
      </c>
      <c r="B10" s="20" t="s">
        <v>79</v>
      </c>
      <c r="C10" s="20" t="s">
        <v>80</v>
      </c>
      <c r="D10" s="20" t="s">
        <v>81</v>
      </c>
      <c r="E10" s="20" t="s">
        <v>82</v>
      </c>
      <c r="F10" s="20" t="s">
        <v>83</v>
      </c>
      <c r="G10" s="20" t="s">
        <v>84</v>
      </c>
      <c r="H10" s="20" t="s">
        <v>85</v>
      </c>
      <c r="I10" s="20" t="s">
        <v>86</v>
      </c>
      <c r="J10" s="20" t="s">
        <v>87</v>
      </c>
      <c r="K10" s="20" t="s">
        <v>88</v>
      </c>
      <c r="L10" s="20" t="s">
        <v>111</v>
      </c>
      <c r="M10" s="20" t="s">
        <v>112</v>
      </c>
      <c r="N10" s="20" t="s">
        <v>116</v>
      </c>
      <c r="O10" s="23" t="s">
        <v>90</v>
      </c>
      <c r="P10" s="20" t="s">
        <v>91</v>
      </c>
      <c r="Q10" s="20" t="s">
        <v>92</v>
      </c>
      <c r="R10" s="20" t="s">
        <v>93</v>
      </c>
      <c r="S10" s="20" t="s">
        <v>94</v>
      </c>
      <c r="T10" s="20" t="s">
        <v>95</v>
      </c>
      <c r="U10" s="2" t="s">
        <v>115</v>
      </c>
    </row>
    <row r="11" spans="1:21" x14ac:dyDescent="0.35">
      <c r="A11" s="1" t="s">
        <v>129</v>
      </c>
      <c r="B11" s="1">
        <v>1.9545454550000001</v>
      </c>
      <c r="C11" s="1">
        <v>1.9772727269999999</v>
      </c>
      <c r="D11" s="1">
        <v>2.0681818179999998</v>
      </c>
      <c r="E11" s="1">
        <v>2.0909090909999999</v>
      </c>
      <c r="F11" s="1">
        <v>2.8409090909999999</v>
      </c>
      <c r="G11" s="1">
        <v>2.5454545450000001</v>
      </c>
      <c r="H11" s="1">
        <v>2.5681818179999998</v>
      </c>
      <c r="I11" s="1">
        <v>2.8409090909999999</v>
      </c>
      <c r="J11" s="1">
        <v>2.9090909090000001</v>
      </c>
      <c r="K11" s="1">
        <v>2.9090909090000001</v>
      </c>
      <c r="L11" s="1">
        <v>12</v>
      </c>
      <c r="M11" s="1">
        <v>12.15909091</v>
      </c>
      <c r="N11" s="1">
        <v>49.94318182</v>
      </c>
      <c r="O11" s="1">
        <v>25</v>
      </c>
      <c r="P11" s="1">
        <v>21.93181818</v>
      </c>
      <c r="Q11" s="1">
        <v>33.636363639999999</v>
      </c>
      <c r="R11" s="1">
        <v>32.045454550000002</v>
      </c>
      <c r="S11" s="1">
        <v>34.772727269999997</v>
      </c>
      <c r="T11" s="1">
        <v>39.545454550000002</v>
      </c>
      <c r="U11" s="1">
        <v>31.155303029999999</v>
      </c>
    </row>
    <row r="12" spans="1:21" x14ac:dyDescent="0.35">
      <c r="A12" s="1" t="s">
        <v>130</v>
      </c>
      <c r="B12" s="1">
        <v>0.987233519</v>
      </c>
      <c r="C12" s="1">
        <v>0.875735873</v>
      </c>
      <c r="D12" s="1">
        <v>0.99761872900000004</v>
      </c>
      <c r="E12" s="1">
        <v>0.83019139900000005</v>
      </c>
      <c r="F12" s="1">
        <v>0.88772460200000003</v>
      </c>
      <c r="G12" s="1">
        <v>1.0880865529999999</v>
      </c>
      <c r="H12" s="1">
        <v>1.2275467550000001</v>
      </c>
      <c r="I12" s="1">
        <v>1.0771016630000001</v>
      </c>
      <c r="J12" s="1">
        <v>1.197248431</v>
      </c>
      <c r="K12" s="1">
        <v>0.96009160900000001</v>
      </c>
      <c r="L12" s="1">
        <v>3.299048489</v>
      </c>
      <c r="M12" s="1">
        <v>2.5964482160000002</v>
      </c>
      <c r="N12" s="1">
        <v>9.1893618410000002</v>
      </c>
      <c r="O12" s="1">
        <v>22.256433609999998</v>
      </c>
      <c r="P12" s="1">
        <v>14.192034659999999</v>
      </c>
      <c r="Q12" s="1">
        <v>18.812527880000001</v>
      </c>
      <c r="R12" s="1">
        <v>18.404946939999999</v>
      </c>
      <c r="S12" s="1">
        <v>15.88309565</v>
      </c>
      <c r="T12" s="1">
        <v>18.857426570000001</v>
      </c>
      <c r="U12" s="1">
        <v>9.493326755</v>
      </c>
    </row>
    <row r="14" spans="1:21" ht="23.5" x14ac:dyDescent="0.55000000000000004">
      <c r="A14" s="41" t="s">
        <v>135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2"/>
    </row>
    <row r="15" spans="1:21" x14ac:dyDescent="0.35">
      <c r="A15" s="2" t="s">
        <v>131</v>
      </c>
      <c r="B15" s="2" t="s">
        <v>45</v>
      </c>
      <c r="C15" s="2" t="s">
        <v>46</v>
      </c>
      <c r="D15" s="2" t="s">
        <v>47</v>
      </c>
      <c r="E15" s="2" t="s">
        <v>48</v>
      </c>
      <c r="F15" s="2" t="s">
        <v>49</v>
      </c>
      <c r="G15" s="2" t="s">
        <v>50</v>
      </c>
      <c r="H15" s="2" t="s">
        <v>51</v>
      </c>
      <c r="I15" s="2" t="s">
        <v>52</v>
      </c>
      <c r="J15" s="2" t="s">
        <v>53</v>
      </c>
      <c r="K15" s="2" t="s">
        <v>54</v>
      </c>
      <c r="L15" s="2" t="s">
        <v>55</v>
      </c>
      <c r="M15" s="2" t="s">
        <v>56</v>
      </c>
      <c r="N15" s="2" t="s">
        <v>57</v>
      </c>
      <c r="O15" s="2" t="s">
        <v>58</v>
      </c>
      <c r="P15" s="2" t="s">
        <v>59</v>
      </c>
    </row>
    <row r="16" spans="1:21" x14ac:dyDescent="0.35">
      <c r="A16" s="1" t="s">
        <v>129</v>
      </c>
      <c r="B16" s="1">
        <v>2.886363636</v>
      </c>
      <c r="C16" s="1">
        <v>2.9772727269999999</v>
      </c>
      <c r="D16" s="1">
        <v>2.886363636</v>
      </c>
      <c r="E16" s="1">
        <v>3.886363636</v>
      </c>
      <c r="F16" s="1">
        <v>3.5</v>
      </c>
      <c r="G16" s="1">
        <v>3.7954545450000001</v>
      </c>
      <c r="H16" s="1">
        <v>3.2272727269999999</v>
      </c>
      <c r="I16" s="1">
        <v>2.863636364</v>
      </c>
      <c r="J16" s="1">
        <v>3.5454545450000001</v>
      </c>
      <c r="K16" s="1">
        <v>2.9772727269999999</v>
      </c>
      <c r="L16" s="1">
        <v>3.136363636</v>
      </c>
      <c r="M16" s="1">
        <v>3.2954545450000001</v>
      </c>
      <c r="N16" s="1">
        <v>3.9772727269999999</v>
      </c>
      <c r="O16" s="1">
        <v>3.5454545450000001</v>
      </c>
      <c r="P16" s="1">
        <v>3.0909090909999999</v>
      </c>
    </row>
    <row r="17" spans="1:21" x14ac:dyDescent="0.35">
      <c r="A17" s="1" t="s">
        <v>130</v>
      </c>
      <c r="B17" s="1">
        <v>1.2240973719999999</v>
      </c>
      <c r="C17" s="1">
        <v>0.82090807200000004</v>
      </c>
      <c r="D17" s="1">
        <v>1.1042393800000001</v>
      </c>
      <c r="E17" s="1">
        <v>1.4661436379999999</v>
      </c>
      <c r="F17" s="1">
        <v>1.4706429539999999</v>
      </c>
      <c r="G17" s="1">
        <v>1.578629748</v>
      </c>
      <c r="H17" s="1">
        <v>1.507556723</v>
      </c>
      <c r="I17" s="1">
        <v>1.4238975190000001</v>
      </c>
      <c r="J17" s="1">
        <v>1.0219576619999999</v>
      </c>
      <c r="K17" s="1">
        <v>0.82090807200000004</v>
      </c>
      <c r="L17" s="1">
        <v>1.2312011359999999</v>
      </c>
      <c r="M17" s="1">
        <v>1.230986473</v>
      </c>
      <c r="N17" s="1">
        <v>1.470463246</v>
      </c>
      <c r="O17" s="1">
        <v>1.3885670290000001</v>
      </c>
      <c r="P17" s="1">
        <v>1.2725762519999999</v>
      </c>
    </row>
    <row r="18" spans="1:21" ht="23.5" x14ac:dyDescent="0.55000000000000004">
      <c r="A18" s="41" t="s">
        <v>136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</row>
    <row r="19" spans="1:21" x14ac:dyDescent="0.35">
      <c r="A19" s="2" t="s">
        <v>131</v>
      </c>
      <c r="B19" s="2" t="s">
        <v>45</v>
      </c>
      <c r="C19" s="2" t="s">
        <v>46</v>
      </c>
      <c r="D19" s="2" t="s">
        <v>47</v>
      </c>
      <c r="E19" s="2" t="s">
        <v>48</v>
      </c>
      <c r="F19" s="2" t="s">
        <v>49</v>
      </c>
      <c r="G19" s="2" t="s">
        <v>50</v>
      </c>
      <c r="H19" s="2" t="s">
        <v>51</v>
      </c>
      <c r="I19" s="2" t="s">
        <v>52</v>
      </c>
      <c r="J19" s="2" t="s">
        <v>53</v>
      </c>
      <c r="K19" s="2" t="s">
        <v>54</v>
      </c>
      <c r="L19" s="2" t="s">
        <v>55</v>
      </c>
      <c r="M19" s="2" t="s">
        <v>56</v>
      </c>
      <c r="N19" s="2" t="s">
        <v>57</v>
      </c>
      <c r="O19" s="2" t="s">
        <v>58</v>
      </c>
      <c r="P19" s="2" t="s">
        <v>59</v>
      </c>
    </row>
    <row r="20" spans="1:21" x14ac:dyDescent="0.35">
      <c r="A20" s="1" t="s">
        <v>129</v>
      </c>
      <c r="B20" s="1">
        <v>0.79545454500000001</v>
      </c>
      <c r="C20" s="1">
        <v>0.909090909</v>
      </c>
      <c r="D20" s="1">
        <v>0.909090909</v>
      </c>
      <c r="E20" s="1">
        <v>0.88636363600000001</v>
      </c>
      <c r="F20" s="1">
        <v>0.93181818199999999</v>
      </c>
      <c r="G20" s="1">
        <v>0.95454545499999999</v>
      </c>
      <c r="H20" s="1">
        <v>1</v>
      </c>
      <c r="I20" s="1">
        <v>0.909090909</v>
      </c>
      <c r="J20" s="1">
        <v>0.909090909</v>
      </c>
      <c r="K20" s="1">
        <v>0.88636363600000001</v>
      </c>
      <c r="L20" s="1">
        <v>0.840909091</v>
      </c>
      <c r="M20" s="1">
        <v>1</v>
      </c>
      <c r="N20" s="1">
        <v>1</v>
      </c>
      <c r="O20" s="1">
        <v>0.95454545499999999</v>
      </c>
      <c r="P20" s="1">
        <v>0.95454545499999999</v>
      </c>
    </row>
    <row r="21" spans="1:21" x14ac:dyDescent="0.35">
      <c r="A21" s="1" t="s">
        <v>130</v>
      </c>
      <c r="B21" s="1">
        <v>0.40803245700000002</v>
      </c>
      <c r="C21" s="1">
        <v>0.29080336299999998</v>
      </c>
      <c r="D21" s="1">
        <v>0.29080336299999998</v>
      </c>
      <c r="E21" s="1">
        <v>0.32103822100000001</v>
      </c>
      <c r="F21" s="1">
        <v>0.25497170600000002</v>
      </c>
      <c r="G21" s="1">
        <v>0.210707055</v>
      </c>
      <c r="H21" s="1">
        <v>0</v>
      </c>
      <c r="I21" s="1">
        <v>0.29080336299999998</v>
      </c>
      <c r="J21" s="1">
        <v>0.29080336299999998</v>
      </c>
      <c r="K21" s="1">
        <v>0.32103822100000001</v>
      </c>
      <c r="L21" s="1">
        <v>0.36998942899999998</v>
      </c>
      <c r="M21" s="1">
        <v>0</v>
      </c>
      <c r="N21" s="1">
        <v>0</v>
      </c>
      <c r="O21" s="1">
        <v>0.210707055</v>
      </c>
      <c r="P21" s="1">
        <v>0.210707055</v>
      </c>
    </row>
    <row r="22" spans="1:21" ht="23.5" x14ac:dyDescent="0.55000000000000004">
      <c r="A22" s="53" t="s">
        <v>137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</row>
    <row r="23" spans="1:21" x14ac:dyDescent="0.35">
      <c r="A23" s="2" t="s">
        <v>131</v>
      </c>
      <c r="B23" s="2" t="s">
        <v>79</v>
      </c>
      <c r="C23" s="2" t="s">
        <v>80</v>
      </c>
      <c r="D23" s="2" t="s">
        <v>81</v>
      </c>
      <c r="E23" s="2" t="s">
        <v>82</v>
      </c>
      <c r="F23" s="2" t="s">
        <v>83</v>
      </c>
      <c r="G23" s="2" t="s">
        <v>84</v>
      </c>
      <c r="H23" s="2" t="s">
        <v>85</v>
      </c>
      <c r="I23" s="2" t="s">
        <v>86</v>
      </c>
      <c r="J23" s="2" t="s">
        <v>87</v>
      </c>
      <c r="K23" s="2" t="s">
        <v>88</v>
      </c>
      <c r="L23" s="2" t="s">
        <v>111</v>
      </c>
      <c r="M23" s="2" t="s">
        <v>112</v>
      </c>
      <c r="N23" s="2" t="s">
        <v>116</v>
      </c>
      <c r="O23" s="8" t="s">
        <v>90</v>
      </c>
      <c r="P23" s="2" t="s">
        <v>91</v>
      </c>
      <c r="Q23" s="2" t="s">
        <v>92</v>
      </c>
      <c r="R23" s="2" t="s">
        <v>93</v>
      </c>
      <c r="S23" s="2" t="s">
        <v>94</v>
      </c>
      <c r="T23" s="2" t="s">
        <v>95</v>
      </c>
      <c r="U23" s="2" t="s">
        <v>115</v>
      </c>
    </row>
    <row r="24" spans="1:21" x14ac:dyDescent="0.35">
      <c r="A24" s="1" t="s">
        <v>129</v>
      </c>
      <c r="B24" s="1">
        <v>2.2954545450000001</v>
      </c>
      <c r="C24" s="1">
        <v>2.5</v>
      </c>
      <c r="D24" s="1">
        <v>2.2954545450000001</v>
      </c>
      <c r="E24" s="1">
        <v>2.4545454549999999</v>
      </c>
      <c r="F24" s="1">
        <v>2.3181818179999998</v>
      </c>
      <c r="G24" s="1">
        <v>2.75</v>
      </c>
      <c r="H24" s="1">
        <v>2.7272727269999999</v>
      </c>
      <c r="I24" s="1">
        <v>2.7727272730000001</v>
      </c>
      <c r="J24" s="1">
        <v>3</v>
      </c>
      <c r="K24" s="1">
        <v>3.2272727269999999</v>
      </c>
      <c r="L24" s="1">
        <v>12.636363640000001</v>
      </c>
      <c r="M24" s="1">
        <v>13.704545449999999</v>
      </c>
      <c r="N24" s="1">
        <v>47.329545449999998</v>
      </c>
      <c r="O24" s="1">
        <v>22.727272729999999</v>
      </c>
      <c r="P24" s="1">
        <v>25.56818182</v>
      </c>
      <c r="Q24" s="1">
        <v>24.772727270000001</v>
      </c>
      <c r="R24" s="1">
        <v>37.272727269999997</v>
      </c>
      <c r="S24" s="1">
        <v>36.590909089999997</v>
      </c>
      <c r="T24" s="1">
        <v>38.409090910000003</v>
      </c>
      <c r="U24" s="1">
        <v>30.89015152</v>
      </c>
    </row>
    <row r="25" spans="1:21" x14ac:dyDescent="0.35">
      <c r="A25" s="1" t="s">
        <v>130</v>
      </c>
      <c r="B25" s="1">
        <v>1.3395512169999999</v>
      </c>
      <c r="C25" s="1">
        <v>1.1102063499999999</v>
      </c>
      <c r="D25" s="1">
        <v>1.132594171</v>
      </c>
      <c r="E25" s="1">
        <v>1.1092537920000001</v>
      </c>
      <c r="F25" s="1">
        <v>0.95898995499999995</v>
      </c>
      <c r="G25" s="1">
        <v>1.08102019</v>
      </c>
      <c r="H25" s="1">
        <v>0.949017518</v>
      </c>
      <c r="I25" s="1">
        <v>1.0312249739999999</v>
      </c>
      <c r="J25" s="1">
        <v>1.1206310509999999</v>
      </c>
      <c r="K25" s="1">
        <v>1.198131032</v>
      </c>
      <c r="L25" s="1">
        <v>2.5798044729999998</v>
      </c>
      <c r="M25" s="1">
        <v>2.4071554709999998</v>
      </c>
      <c r="N25" s="1">
        <v>8.8000681699999994</v>
      </c>
      <c r="O25" s="1">
        <v>19.333503440000001</v>
      </c>
      <c r="P25" s="1">
        <v>14.754420270000001</v>
      </c>
      <c r="Q25" s="1">
        <v>19.3785588</v>
      </c>
      <c r="R25" s="1">
        <v>21.926265059999999</v>
      </c>
      <c r="S25" s="1">
        <v>15.80302912</v>
      </c>
      <c r="T25" s="1">
        <v>23.693113690000001</v>
      </c>
      <c r="U25" s="1">
        <v>9.9277065889999996</v>
      </c>
    </row>
    <row r="26" spans="1:21" ht="23.5" x14ac:dyDescent="0.55000000000000004">
      <c r="A26" s="41" t="s">
        <v>138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2"/>
    </row>
    <row r="27" spans="1:21" x14ac:dyDescent="0.35">
      <c r="A27" s="2" t="s">
        <v>131</v>
      </c>
      <c r="B27" s="2" t="s">
        <v>45</v>
      </c>
      <c r="C27" s="2" t="s">
        <v>46</v>
      </c>
      <c r="D27" s="2" t="s">
        <v>47</v>
      </c>
      <c r="E27" s="2" t="s">
        <v>48</v>
      </c>
      <c r="F27" s="2" t="s">
        <v>49</v>
      </c>
      <c r="G27" s="2" t="s">
        <v>50</v>
      </c>
      <c r="H27" s="2" t="s">
        <v>51</v>
      </c>
      <c r="I27" s="2" t="s">
        <v>52</v>
      </c>
      <c r="J27" s="2" t="s">
        <v>53</v>
      </c>
      <c r="K27" s="2" t="s">
        <v>54</v>
      </c>
      <c r="L27" s="2" t="s">
        <v>55</v>
      </c>
      <c r="M27" s="2" t="s">
        <v>56</v>
      </c>
      <c r="N27" s="2" t="s">
        <v>57</v>
      </c>
      <c r="O27" s="2" t="s">
        <v>58</v>
      </c>
      <c r="P27" s="2" t="s">
        <v>59</v>
      </c>
    </row>
    <row r="28" spans="1:21" x14ac:dyDescent="0.35">
      <c r="A28" s="1" t="s">
        <v>129</v>
      </c>
      <c r="B28" s="1">
        <v>2.8181818179999998</v>
      </c>
      <c r="C28" s="1">
        <v>3.886363636</v>
      </c>
      <c r="D28" s="1">
        <v>3</v>
      </c>
      <c r="E28" s="1">
        <v>2.9545454549999999</v>
      </c>
      <c r="F28" s="1">
        <v>3.7045454549999999</v>
      </c>
      <c r="G28" s="1">
        <v>3.9772727269999999</v>
      </c>
      <c r="H28" s="1">
        <v>3.2727272730000001</v>
      </c>
      <c r="I28" s="1">
        <v>2.886363636</v>
      </c>
      <c r="J28" s="1">
        <v>3.0227272730000001</v>
      </c>
      <c r="K28" s="1">
        <v>3.0454545450000001</v>
      </c>
      <c r="L28" s="1">
        <v>3.6590909090000001</v>
      </c>
      <c r="M28" s="1">
        <v>4.0681818180000002</v>
      </c>
      <c r="N28" s="1">
        <v>3.8409090909999999</v>
      </c>
      <c r="O28" s="1">
        <v>3.7272727269999999</v>
      </c>
      <c r="P28" s="1">
        <v>3.5909090909999999</v>
      </c>
    </row>
    <row r="29" spans="1:21" x14ac:dyDescent="0.35">
      <c r="A29" s="1" t="s">
        <v>130</v>
      </c>
      <c r="B29" s="1">
        <v>1.402203039</v>
      </c>
      <c r="C29" s="1">
        <v>0.84125899800000004</v>
      </c>
      <c r="D29" s="1">
        <v>0.80694658500000005</v>
      </c>
      <c r="E29" s="1">
        <v>0.77623256699999998</v>
      </c>
      <c r="F29" s="1">
        <v>1.533798226</v>
      </c>
      <c r="G29" s="1">
        <v>1.4222261679999999</v>
      </c>
      <c r="H29" s="1">
        <v>1.1883863670000001</v>
      </c>
      <c r="I29" s="1">
        <v>0.94539050800000002</v>
      </c>
      <c r="J29" s="1">
        <v>1.0227331449999999</v>
      </c>
      <c r="K29" s="1">
        <v>1.2566945469999999</v>
      </c>
      <c r="L29" s="1">
        <v>1.6130742250000001</v>
      </c>
      <c r="M29" s="1">
        <v>1.546153927</v>
      </c>
      <c r="N29" s="1">
        <v>1.5241189879999999</v>
      </c>
      <c r="O29" s="1">
        <v>1.5754458410000001</v>
      </c>
      <c r="P29" s="1">
        <v>1.5747747249999999</v>
      </c>
    </row>
    <row r="30" spans="1:21" ht="23.5" x14ac:dyDescent="0.55000000000000004">
      <c r="A30" s="41" t="s">
        <v>139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2"/>
    </row>
    <row r="31" spans="1:21" x14ac:dyDescent="0.35">
      <c r="A31" s="2" t="s">
        <v>131</v>
      </c>
      <c r="B31" s="2" t="s">
        <v>45</v>
      </c>
      <c r="C31" s="2" t="s">
        <v>46</v>
      </c>
      <c r="D31" s="2" t="s">
        <v>47</v>
      </c>
      <c r="E31" s="2" t="s">
        <v>48</v>
      </c>
      <c r="F31" s="2" t="s">
        <v>49</v>
      </c>
      <c r="G31" s="2" t="s">
        <v>50</v>
      </c>
      <c r="H31" s="2" t="s">
        <v>51</v>
      </c>
      <c r="I31" s="2" t="s">
        <v>52</v>
      </c>
      <c r="J31" s="2" t="s">
        <v>53</v>
      </c>
      <c r="K31" s="2" t="s">
        <v>54</v>
      </c>
      <c r="L31" s="2" t="s">
        <v>55</v>
      </c>
      <c r="M31" s="2" t="s">
        <v>56</v>
      </c>
      <c r="N31" s="2" t="s">
        <v>57</v>
      </c>
      <c r="O31" s="2" t="s">
        <v>58</v>
      </c>
      <c r="P31" s="2" t="s">
        <v>59</v>
      </c>
    </row>
    <row r="32" spans="1:21" x14ac:dyDescent="0.35">
      <c r="A32" s="1" t="s">
        <v>129</v>
      </c>
      <c r="B32" s="1">
        <v>0.909090909</v>
      </c>
      <c r="C32" s="1">
        <v>0.840909091</v>
      </c>
      <c r="D32" s="1">
        <v>0.88636363600000001</v>
      </c>
      <c r="E32" s="1">
        <v>0.88636363600000001</v>
      </c>
      <c r="F32" s="1">
        <v>0.909090909</v>
      </c>
      <c r="G32" s="1">
        <v>1</v>
      </c>
      <c r="H32" s="1">
        <v>0.95454545499999999</v>
      </c>
      <c r="I32" s="1">
        <v>0.86363636399999999</v>
      </c>
      <c r="J32" s="1">
        <v>0.86363636399999999</v>
      </c>
      <c r="K32" s="1">
        <v>0.97727272700000001</v>
      </c>
      <c r="L32" s="1">
        <v>0.909090909</v>
      </c>
      <c r="M32" s="1">
        <v>0.95454545499999999</v>
      </c>
      <c r="N32" s="1">
        <v>0.97727272700000001</v>
      </c>
      <c r="O32" s="1">
        <v>0.88636363600000001</v>
      </c>
      <c r="P32" s="1">
        <v>0.93181818199999999</v>
      </c>
    </row>
    <row r="33" spans="1:21" x14ac:dyDescent="0.35">
      <c r="A33" s="1" t="s">
        <v>130</v>
      </c>
      <c r="B33" s="1">
        <v>0.29080336299999998</v>
      </c>
      <c r="C33" s="1">
        <v>0.36998942899999998</v>
      </c>
      <c r="D33" s="1">
        <v>0.32103822100000001</v>
      </c>
      <c r="E33" s="1">
        <v>0.32103822100000001</v>
      </c>
      <c r="F33" s="1">
        <v>0.29080336299999998</v>
      </c>
      <c r="G33" s="1">
        <v>0</v>
      </c>
      <c r="H33" s="1">
        <v>0.210707055</v>
      </c>
      <c r="I33" s="1">
        <v>0.347141757</v>
      </c>
      <c r="J33" s="1">
        <v>0.347141757</v>
      </c>
      <c r="K33" s="1">
        <v>0.15075567200000001</v>
      </c>
      <c r="L33" s="1">
        <v>0.29080336299999998</v>
      </c>
      <c r="M33" s="1">
        <v>0.210707055</v>
      </c>
      <c r="N33" s="1">
        <v>0.15075567200000001</v>
      </c>
      <c r="O33" s="1">
        <v>0.32103822100000001</v>
      </c>
      <c r="P33" s="1">
        <v>0.25497170600000002</v>
      </c>
    </row>
    <row r="34" spans="1:21" ht="23.5" x14ac:dyDescent="0.55000000000000004">
      <c r="A34" s="53" t="s">
        <v>140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</row>
    <row r="35" spans="1:21" x14ac:dyDescent="0.35">
      <c r="A35" s="2" t="s">
        <v>131</v>
      </c>
      <c r="B35" s="2" t="s">
        <v>79</v>
      </c>
      <c r="C35" s="2" t="s">
        <v>80</v>
      </c>
      <c r="D35" s="2" t="s">
        <v>81</v>
      </c>
      <c r="E35" s="2" t="s">
        <v>82</v>
      </c>
      <c r="F35" s="2" t="s">
        <v>83</v>
      </c>
      <c r="G35" s="2" t="s">
        <v>84</v>
      </c>
      <c r="H35" s="2" t="s">
        <v>85</v>
      </c>
      <c r="I35" s="2" t="s">
        <v>86</v>
      </c>
      <c r="J35" s="2" t="s">
        <v>87</v>
      </c>
      <c r="K35" s="2" t="s">
        <v>88</v>
      </c>
      <c r="L35" s="2" t="s">
        <v>111</v>
      </c>
      <c r="M35" s="2" t="s">
        <v>112</v>
      </c>
      <c r="N35" s="2" t="s">
        <v>116</v>
      </c>
      <c r="O35" s="8" t="s">
        <v>90</v>
      </c>
      <c r="P35" s="2" t="s">
        <v>91</v>
      </c>
      <c r="Q35" s="2" t="s">
        <v>92</v>
      </c>
      <c r="R35" s="2" t="s">
        <v>93</v>
      </c>
      <c r="S35" s="2" t="s">
        <v>94</v>
      </c>
      <c r="T35" s="2" t="s">
        <v>95</v>
      </c>
      <c r="U35" s="2" t="s">
        <v>115</v>
      </c>
    </row>
    <row r="36" spans="1:21" x14ac:dyDescent="0.35">
      <c r="A36" s="1" t="s">
        <v>129</v>
      </c>
      <c r="B36" s="1">
        <v>2.0909090909999999</v>
      </c>
      <c r="C36" s="1">
        <v>1.886363636</v>
      </c>
      <c r="D36" s="1">
        <v>2.25</v>
      </c>
      <c r="E36" s="1">
        <v>2.3181818179999998</v>
      </c>
      <c r="F36" s="1">
        <v>2.636363636</v>
      </c>
      <c r="G36" s="1">
        <v>2.5227272730000001</v>
      </c>
      <c r="H36" s="1">
        <v>2.886363636</v>
      </c>
      <c r="I36" s="1">
        <v>2.3181818179999998</v>
      </c>
      <c r="J36" s="1">
        <v>2.886363636</v>
      </c>
      <c r="K36" s="1">
        <v>2.6818181820000002</v>
      </c>
      <c r="L36" s="1">
        <v>7.75</v>
      </c>
      <c r="M36" s="1">
        <v>13.272727270000001</v>
      </c>
      <c r="N36" s="1">
        <v>52.55681818</v>
      </c>
      <c r="O36" s="1">
        <v>21.93181818</v>
      </c>
      <c r="P36" s="1">
        <v>25.227272729999999</v>
      </c>
      <c r="Q36" s="1">
        <v>27.613636360000001</v>
      </c>
      <c r="R36" s="1">
        <v>33.409090910000003</v>
      </c>
      <c r="S36" s="1">
        <v>36.136363639999999</v>
      </c>
      <c r="T36" s="1">
        <v>39.659090910000003</v>
      </c>
      <c r="U36" s="1">
        <v>30.662878790000001</v>
      </c>
    </row>
    <row r="37" spans="1:21" x14ac:dyDescent="0.35">
      <c r="A37" s="1" t="s">
        <v>130</v>
      </c>
      <c r="B37" s="1">
        <v>1.2354865690000001</v>
      </c>
      <c r="C37" s="1">
        <v>0.84125899800000004</v>
      </c>
      <c r="D37" s="1">
        <v>1.1023231280000001</v>
      </c>
      <c r="E37" s="1">
        <v>0.982941179</v>
      </c>
      <c r="F37" s="1">
        <v>0.96667517199999997</v>
      </c>
      <c r="G37" s="1">
        <v>1.0888149389999999</v>
      </c>
      <c r="H37" s="1">
        <v>1.0612828809999999</v>
      </c>
      <c r="I37" s="1">
        <v>0.88324789800000003</v>
      </c>
      <c r="J37" s="1">
        <v>1.0391389339999999</v>
      </c>
      <c r="K37" s="1">
        <v>1.253325386</v>
      </c>
      <c r="L37" s="1">
        <v>2.668724981</v>
      </c>
      <c r="M37" s="1">
        <v>2.731075573</v>
      </c>
      <c r="N37" s="1">
        <v>10.558373680000001</v>
      </c>
      <c r="O37" s="1">
        <v>17.823942259999999</v>
      </c>
      <c r="P37" s="1">
        <v>15.056272180000001</v>
      </c>
      <c r="Q37" s="1">
        <v>19.48430007</v>
      </c>
      <c r="R37" s="1">
        <v>18.70122267</v>
      </c>
      <c r="S37" s="1">
        <v>18.981742650000001</v>
      </c>
      <c r="T37" s="1">
        <v>20.52785196</v>
      </c>
      <c r="U37" s="1">
        <v>11.72683756</v>
      </c>
    </row>
  </sheetData>
  <mergeCells count="9">
    <mergeCell ref="A22:U22"/>
    <mergeCell ref="A26:P26"/>
    <mergeCell ref="A30:P30"/>
    <mergeCell ref="A34:U34"/>
    <mergeCell ref="A1:P1"/>
    <mergeCell ref="A5:P5"/>
    <mergeCell ref="A9:U9"/>
    <mergeCell ref="A14:P14"/>
    <mergeCell ref="A18:P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E51C2-156E-48FD-BC8F-4F04BAB0051D}">
  <dimension ref="A1:N52"/>
  <sheetViews>
    <sheetView topLeftCell="B33" zoomScale="76" zoomScaleNormal="100" workbookViewId="0">
      <selection activeCell="B51" sqref="B51"/>
    </sheetView>
  </sheetViews>
  <sheetFormatPr defaultRowHeight="14.5" x14ac:dyDescent="0.35"/>
  <cols>
    <col min="2" max="2" width="35.90625" bestFit="1" customWidth="1"/>
    <col min="3" max="3" width="14" customWidth="1"/>
    <col min="4" max="4" width="16.54296875" customWidth="1"/>
    <col min="5" max="5" width="15.36328125" customWidth="1"/>
    <col min="6" max="6" width="13.6328125" customWidth="1"/>
    <col min="7" max="7" width="15.7265625" customWidth="1"/>
    <col min="8" max="8" width="16.90625" customWidth="1"/>
    <col min="9" max="9" width="15.81640625" customWidth="1"/>
    <col min="10" max="10" width="13.453125" customWidth="1"/>
    <col min="11" max="11" width="14.90625" customWidth="1"/>
    <col min="12" max="12" width="13.453125" customWidth="1"/>
    <col min="13" max="13" width="14.6328125" customWidth="1"/>
    <col min="14" max="14" width="20.90625" customWidth="1"/>
  </cols>
  <sheetData>
    <row r="1" spans="1:14" ht="23.5" x14ac:dyDescent="0.55000000000000004">
      <c r="A1" s="41"/>
      <c r="B1" s="41"/>
    </row>
    <row r="2" spans="1:14" ht="43.5" x14ac:dyDescent="0.35">
      <c r="A2" s="2" t="s">
        <v>44</v>
      </c>
      <c r="B2" s="2" t="s">
        <v>0</v>
      </c>
      <c r="C2" s="8" t="s">
        <v>105</v>
      </c>
      <c r="D2" s="8" t="s">
        <v>104</v>
      </c>
      <c r="E2" s="8" t="s">
        <v>106</v>
      </c>
      <c r="F2" s="8" t="s">
        <v>107</v>
      </c>
      <c r="G2" s="8" t="s">
        <v>108</v>
      </c>
      <c r="H2" s="8" t="s">
        <v>109</v>
      </c>
      <c r="I2" s="8" t="s">
        <v>97</v>
      </c>
      <c r="J2" s="8" t="s">
        <v>98</v>
      </c>
      <c r="K2" s="8" t="s">
        <v>99</v>
      </c>
      <c r="L2" s="8" t="s">
        <v>100</v>
      </c>
      <c r="M2" s="8" t="s">
        <v>101</v>
      </c>
      <c r="N2" s="8" t="s">
        <v>102</v>
      </c>
    </row>
    <row r="3" spans="1:14" x14ac:dyDescent="0.35">
      <c r="A3" s="2">
        <v>1</v>
      </c>
      <c r="B3" s="3" t="s">
        <v>1</v>
      </c>
      <c r="C3" s="1">
        <v>3.6</v>
      </c>
      <c r="D3" s="1">
        <v>3.6</v>
      </c>
      <c r="E3" s="1">
        <v>3.4</v>
      </c>
      <c r="F3" s="1">
        <v>93.333333330000002</v>
      </c>
      <c r="G3">
        <v>86.666666669999998</v>
      </c>
      <c r="H3" s="1">
        <v>86.666666669999998</v>
      </c>
      <c r="I3" s="16">
        <v>45</v>
      </c>
      <c r="J3" s="1">
        <v>47.5</v>
      </c>
      <c r="K3" s="1">
        <v>47.5</v>
      </c>
      <c r="L3" s="1">
        <v>21.666666670000001</v>
      </c>
      <c r="M3" s="1">
        <v>40</v>
      </c>
      <c r="N3" s="1">
        <v>24.166666670000001</v>
      </c>
    </row>
    <row r="4" spans="1:14" x14ac:dyDescent="0.35">
      <c r="A4" s="2">
        <v>2</v>
      </c>
      <c r="B4" s="3" t="s">
        <v>2</v>
      </c>
      <c r="C4" s="1">
        <v>3.4666666670000001</v>
      </c>
      <c r="D4" s="1">
        <v>3.4666666670000001</v>
      </c>
      <c r="E4" s="1">
        <v>3.2</v>
      </c>
      <c r="F4" s="1">
        <v>86.666666669999998</v>
      </c>
      <c r="G4" s="1">
        <v>100</v>
      </c>
      <c r="H4" s="1">
        <v>93.333333330000002</v>
      </c>
      <c r="I4" s="17">
        <v>22.5</v>
      </c>
      <c r="J4" s="1">
        <v>40</v>
      </c>
      <c r="K4" s="1">
        <v>47.5</v>
      </c>
      <c r="L4" s="1">
        <v>19.166666670000001</v>
      </c>
      <c r="M4" s="1">
        <v>24.166666670000001</v>
      </c>
      <c r="N4" s="1">
        <v>36.666666669999998</v>
      </c>
    </row>
    <row r="5" spans="1:14" x14ac:dyDescent="0.35">
      <c r="A5" s="2">
        <v>3</v>
      </c>
      <c r="B5" s="3" t="s">
        <v>3</v>
      </c>
      <c r="C5" s="1">
        <v>3.5333333329999999</v>
      </c>
      <c r="D5" s="1">
        <v>3.6</v>
      </c>
      <c r="E5" s="1">
        <v>3.4666666670000001</v>
      </c>
      <c r="F5" s="1">
        <v>100</v>
      </c>
      <c r="G5" s="1">
        <v>100</v>
      </c>
      <c r="H5" s="1">
        <v>93.333333330000002</v>
      </c>
      <c r="I5">
        <v>40</v>
      </c>
      <c r="J5" s="1">
        <v>42.5</v>
      </c>
      <c r="K5" s="1">
        <v>75</v>
      </c>
      <c r="L5" s="1">
        <v>37.5</v>
      </c>
      <c r="M5" s="1">
        <v>36.666666669999998</v>
      </c>
      <c r="N5" s="1">
        <v>24.166666670000001</v>
      </c>
    </row>
    <row r="6" spans="1:14" x14ac:dyDescent="0.35">
      <c r="A6" s="2">
        <v>4</v>
      </c>
      <c r="B6" s="3" t="s">
        <v>4</v>
      </c>
      <c r="C6" s="1">
        <v>3.1333333329999999</v>
      </c>
      <c r="D6" s="1">
        <v>3.6</v>
      </c>
      <c r="E6" s="1">
        <v>3.733333333</v>
      </c>
      <c r="F6" s="1">
        <v>93.333333330000002</v>
      </c>
      <c r="G6" s="1">
        <v>86.666666669999998</v>
      </c>
      <c r="H6" s="1">
        <v>93.333333330000002</v>
      </c>
      <c r="I6" s="16">
        <v>50</v>
      </c>
      <c r="J6" s="1">
        <v>70</v>
      </c>
      <c r="K6" s="1">
        <v>67.5</v>
      </c>
      <c r="L6" s="1">
        <v>25</v>
      </c>
      <c r="M6" s="1">
        <v>24.166666670000001</v>
      </c>
      <c r="N6" s="1">
        <v>12.5</v>
      </c>
    </row>
    <row r="7" spans="1:14" x14ac:dyDescent="0.35">
      <c r="A7" s="2">
        <v>5</v>
      </c>
      <c r="B7" s="3" t="s">
        <v>5</v>
      </c>
      <c r="C7" s="1">
        <v>3.2</v>
      </c>
      <c r="D7" s="1">
        <v>3.6666666669999999</v>
      </c>
      <c r="E7" s="1">
        <v>4.1333333330000004</v>
      </c>
      <c r="F7" s="1">
        <v>66.666666669999998</v>
      </c>
      <c r="G7" s="1">
        <v>86.666666669999998</v>
      </c>
      <c r="H7" s="1">
        <v>93.333333330000002</v>
      </c>
      <c r="I7" s="16">
        <v>50</v>
      </c>
      <c r="J7" s="1">
        <v>50</v>
      </c>
      <c r="K7" s="1">
        <v>40</v>
      </c>
      <c r="L7" s="1">
        <v>54.166666669999998</v>
      </c>
      <c r="M7" s="1">
        <v>40.833333330000002</v>
      </c>
      <c r="N7" s="1">
        <v>39.166666669999998</v>
      </c>
    </row>
    <row r="8" spans="1:14" x14ac:dyDescent="0.35">
      <c r="A8" s="2">
        <v>6</v>
      </c>
      <c r="B8" s="3" t="s">
        <v>6</v>
      </c>
      <c r="C8" s="1">
        <v>3</v>
      </c>
      <c r="D8" s="1">
        <v>3.1333333329999999</v>
      </c>
      <c r="E8" s="1">
        <v>3.2</v>
      </c>
      <c r="F8" s="1">
        <v>86.666666669999998</v>
      </c>
      <c r="G8" s="1">
        <v>100</v>
      </c>
      <c r="H8" s="1">
        <v>86.666666669999998</v>
      </c>
      <c r="I8" s="16">
        <v>50</v>
      </c>
      <c r="J8" s="1">
        <v>50</v>
      </c>
      <c r="K8" s="1">
        <v>50</v>
      </c>
      <c r="L8" s="1">
        <v>15.83333333</v>
      </c>
      <c r="M8" s="1">
        <v>15</v>
      </c>
      <c r="N8" s="1">
        <v>15.83333333</v>
      </c>
    </row>
    <row r="9" spans="1:14" x14ac:dyDescent="0.35">
      <c r="A9" s="2">
        <v>7</v>
      </c>
      <c r="B9" s="3" t="s">
        <v>7</v>
      </c>
      <c r="C9" s="1">
        <v>3.733333333</v>
      </c>
      <c r="D9" s="1">
        <v>3.1333333329999999</v>
      </c>
      <c r="E9" s="1">
        <v>3.0666666669999998</v>
      </c>
      <c r="F9" s="1">
        <v>93.333333330000002</v>
      </c>
      <c r="G9" s="1">
        <v>100</v>
      </c>
      <c r="H9" s="1">
        <v>86.666666669999998</v>
      </c>
      <c r="I9" s="16">
        <v>52.5</v>
      </c>
      <c r="J9" s="1">
        <v>45</v>
      </c>
      <c r="K9" s="1">
        <v>42.5</v>
      </c>
      <c r="L9" s="1">
        <v>20.833333329999999</v>
      </c>
      <c r="M9" s="1">
        <v>15</v>
      </c>
      <c r="N9" s="1">
        <v>15.83333333</v>
      </c>
    </row>
    <row r="10" spans="1:14" x14ac:dyDescent="0.35">
      <c r="A10" s="2">
        <v>8</v>
      </c>
      <c r="B10" s="3" t="s">
        <v>8</v>
      </c>
      <c r="C10" s="1">
        <v>4.0666666669999998</v>
      </c>
      <c r="D10" s="1">
        <v>3.1333333329999999</v>
      </c>
      <c r="E10" s="1">
        <v>3.266666667</v>
      </c>
      <c r="F10" s="1">
        <v>86.666666669999998</v>
      </c>
      <c r="G10" s="1">
        <v>73.333333330000002</v>
      </c>
      <c r="H10" s="1">
        <v>93.333333330000002</v>
      </c>
      <c r="I10" s="16">
        <v>45</v>
      </c>
      <c r="J10" s="1">
        <v>47.5</v>
      </c>
      <c r="K10" s="1">
        <v>45</v>
      </c>
      <c r="L10" s="1">
        <v>24.166666670000001</v>
      </c>
      <c r="M10" s="1">
        <v>12.5</v>
      </c>
      <c r="N10" s="1">
        <v>12.5</v>
      </c>
    </row>
    <row r="11" spans="1:14" x14ac:dyDescent="0.35">
      <c r="A11" s="2">
        <v>9</v>
      </c>
      <c r="B11" s="3" t="s">
        <v>9</v>
      </c>
      <c r="C11" s="1">
        <v>2.9333333330000002</v>
      </c>
      <c r="D11" s="1">
        <v>3.3333333330000001</v>
      </c>
      <c r="E11" s="1">
        <v>4.266666667</v>
      </c>
      <c r="F11" s="1">
        <v>86.666666669999998</v>
      </c>
      <c r="G11" s="1">
        <v>93.333333330000002</v>
      </c>
      <c r="H11" s="1">
        <v>86.666666669999998</v>
      </c>
      <c r="I11" s="16">
        <v>65</v>
      </c>
      <c r="J11" s="1">
        <v>57.5</v>
      </c>
      <c r="K11" s="1">
        <v>60</v>
      </c>
      <c r="L11" s="1">
        <v>43.333333330000002</v>
      </c>
      <c r="M11" s="1">
        <v>34.166666669999998</v>
      </c>
      <c r="N11" s="1">
        <v>50</v>
      </c>
    </row>
    <row r="12" spans="1:14" x14ac:dyDescent="0.35">
      <c r="A12" s="2">
        <v>10</v>
      </c>
      <c r="B12" s="3" t="s">
        <v>10</v>
      </c>
      <c r="C12" s="1">
        <v>3.0666666669999998</v>
      </c>
      <c r="D12" s="1">
        <v>3.4666666670000001</v>
      </c>
      <c r="E12" s="1">
        <v>3.4</v>
      </c>
      <c r="F12" s="1">
        <v>80</v>
      </c>
      <c r="G12" s="1">
        <v>86.666666669999998</v>
      </c>
      <c r="H12" s="1">
        <v>73.333333330000002</v>
      </c>
      <c r="I12" s="16">
        <v>57.5</v>
      </c>
      <c r="J12" s="1">
        <v>42.5</v>
      </c>
      <c r="K12" s="1">
        <v>50</v>
      </c>
      <c r="L12" s="1">
        <v>30</v>
      </c>
      <c r="M12" s="1">
        <v>33.333333330000002</v>
      </c>
      <c r="N12" s="1">
        <v>30</v>
      </c>
    </row>
    <row r="13" spans="1:14" x14ac:dyDescent="0.35">
      <c r="A13" s="2">
        <v>11</v>
      </c>
      <c r="B13" s="3" t="s">
        <v>11</v>
      </c>
      <c r="C13" s="1">
        <v>2.9333333330000002</v>
      </c>
      <c r="D13" s="1">
        <v>3</v>
      </c>
      <c r="E13" s="1">
        <v>3.6666666669999999</v>
      </c>
      <c r="F13" s="1">
        <v>80</v>
      </c>
      <c r="G13" s="1">
        <v>93.333333330000002</v>
      </c>
      <c r="H13" s="1">
        <v>80</v>
      </c>
      <c r="I13" s="16">
        <v>55</v>
      </c>
      <c r="J13" s="1">
        <v>57.5</v>
      </c>
      <c r="K13" s="1">
        <v>60</v>
      </c>
      <c r="L13" s="1">
        <v>23.333333329999999</v>
      </c>
      <c r="M13" s="1">
        <v>20</v>
      </c>
      <c r="N13" s="1">
        <v>33.333333330000002</v>
      </c>
    </row>
    <row r="14" spans="1:14" x14ac:dyDescent="0.35">
      <c r="A14" s="2">
        <v>12</v>
      </c>
      <c r="B14" s="3" t="s">
        <v>12</v>
      </c>
      <c r="C14" s="1">
        <v>3.1333333329999999</v>
      </c>
      <c r="D14" s="1">
        <v>3.6</v>
      </c>
      <c r="E14" s="1">
        <v>3.4666666670000001</v>
      </c>
      <c r="F14" s="1">
        <v>86.666666669999998</v>
      </c>
      <c r="G14" s="1">
        <v>93.333333330000002</v>
      </c>
      <c r="H14" s="1">
        <v>93.333333330000002</v>
      </c>
      <c r="I14" s="16">
        <v>40</v>
      </c>
      <c r="J14" s="1">
        <v>47.5</v>
      </c>
      <c r="K14" s="1">
        <v>57.5</v>
      </c>
      <c r="L14" s="1">
        <v>18.333333329999999</v>
      </c>
      <c r="M14" s="1">
        <v>28.333333329999999</v>
      </c>
      <c r="N14" s="1">
        <v>21.666666670000001</v>
      </c>
    </row>
    <row r="15" spans="1:14" x14ac:dyDescent="0.35">
      <c r="A15" s="2">
        <v>13</v>
      </c>
      <c r="B15" s="3" t="s">
        <v>13</v>
      </c>
      <c r="C15" s="1">
        <v>3.5333333329999999</v>
      </c>
      <c r="D15" s="1">
        <v>2.6666666669999999</v>
      </c>
      <c r="E15" s="1">
        <v>3.266666667</v>
      </c>
      <c r="F15" s="1">
        <v>93.333333330000002</v>
      </c>
      <c r="G15" s="1">
        <v>80</v>
      </c>
      <c r="H15" s="1">
        <v>86.666666669999998</v>
      </c>
      <c r="I15" s="16">
        <v>50</v>
      </c>
      <c r="J15" s="1">
        <v>37.5</v>
      </c>
      <c r="K15" s="1">
        <v>42.5</v>
      </c>
      <c r="L15" s="1">
        <v>54.166666669999998</v>
      </c>
      <c r="M15" s="1">
        <v>35.833333330000002</v>
      </c>
      <c r="N15" s="1">
        <v>27.5</v>
      </c>
    </row>
    <row r="16" spans="1:14" x14ac:dyDescent="0.35">
      <c r="A16" s="2">
        <v>14</v>
      </c>
      <c r="B16" s="3" t="s">
        <v>14</v>
      </c>
      <c r="C16" s="1">
        <v>3.1333333329999999</v>
      </c>
      <c r="D16" s="1">
        <v>3.5333333329999999</v>
      </c>
      <c r="E16" s="1">
        <v>3.4666666670000001</v>
      </c>
      <c r="F16" s="1">
        <v>80</v>
      </c>
      <c r="G16" s="1">
        <v>80</v>
      </c>
      <c r="H16" s="1">
        <v>86.666666669999998</v>
      </c>
      <c r="I16" s="16">
        <v>62.5</v>
      </c>
      <c r="J16" s="1">
        <v>57.5</v>
      </c>
      <c r="K16" s="1">
        <v>52.5</v>
      </c>
      <c r="L16" s="1">
        <v>15</v>
      </c>
      <c r="M16" s="1">
        <v>24.166666670000001</v>
      </c>
      <c r="N16" s="1">
        <v>15</v>
      </c>
    </row>
    <row r="17" spans="1:14" x14ac:dyDescent="0.35">
      <c r="A17" s="2">
        <v>15</v>
      </c>
      <c r="B17" s="3" t="s">
        <v>15</v>
      </c>
      <c r="C17" s="1">
        <v>3.2</v>
      </c>
      <c r="D17" s="1">
        <v>3.1333333329999999</v>
      </c>
      <c r="E17" s="1">
        <v>3.4</v>
      </c>
      <c r="F17" s="1">
        <v>93.333333330000002</v>
      </c>
      <c r="G17" s="1">
        <v>100</v>
      </c>
      <c r="H17" s="1">
        <v>100</v>
      </c>
      <c r="I17" s="16">
        <v>37.5</v>
      </c>
      <c r="J17" s="1">
        <v>60</v>
      </c>
      <c r="K17" s="1">
        <v>45</v>
      </c>
      <c r="L17" s="1">
        <v>42.5</v>
      </c>
      <c r="M17" s="1">
        <v>40</v>
      </c>
      <c r="N17" s="1">
        <v>30</v>
      </c>
    </row>
    <row r="18" spans="1:14" x14ac:dyDescent="0.35">
      <c r="A18" s="2">
        <v>16</v>
      </c>
      <c r="B18" s="3" t="s">
        <v>16</v>
      </c>
      <c r="C18" s="1">
        <v>3.8</v>
      </c>
      <c r="D18" s="1">
        <v>3.4</v>
      </c>
      <c r="E18" s="1">
        <v>3.266666667</v>
      </c>
      <c r="F18" s="1">
        <v>73.333333330000002</v>
      </c>
      <c r="G18" s="1">
        <v>86.666666669999998</v>
      </c>
      <c r="H18" s="1">
        <v>93.333333330000002</v>
      </c>
      <c r="I18" s="16">
        <v>55</v>
      </c>
      <c r="J18" s="1">
        <v>42.5</v>
      </c>
      <c r="K18" s="1">
        <v>42.5</v>
      </c>
      <c r="L18" s="1">
        <v>36.666666669999998</v>
      </c>
      <c r="M18" s="1">
        <v>44.166666669999998</v>
      </c>
      <c r="N18" s="1">
        <v>21.666666670000001</v>
      </c>
    </row>
    <row r="19" spans="1:14" x14ac:dyDescent="0.35">
      <c r="A19" s="2">
        <v>17</v>
      </c>
      <c r="B19" s="3" t="s">
        <v>17</v>
      </c>
      <c r="C19" s="1">
        <v>3.4666666670000001</v>
      </c>
      <c r="D19" s="1">
        <v>3.733333333</v>
      </c>
      <c r="E19" s="1">
        <v>3.0666666669999998</v>
      </c>
      <c r="F19" s="1">
        <v>80</v>
      </c>
      <c r="G19" s="1">
        <v>93.333333330000002</v>
      </c>
      <c r="H19" s="1">
        <v>93.333333330000002</v>
      </c>
      <c r="I19" s="16">
        <v>45</v>
      </c>
      <c r="J19" s="1">
        <v>30</v>
      </c>
      <c r="K19" s="1">
        <v>55</v>
      </c>
      <c r="L19" s="1">
        <v>28.333333329999999</v>
      </c>
      <c r="M19" s="1">
        <v>27.5</v>
      </c>
      <c r="N19" s="1">
        <v>24.166666670000001</v>
      </c>
    </row>
    <row r="20" spans="1:14" x14ac:dyDescent="0.35">
      <c r="A20" s="2">
        <v>18</v>
      </c>
      <c r="B20" s="3" t="s">
        <v>18</v>
      </c>
      <c r="C20" s="1">
        <v>3.4</v>
      </c>
      <c r="D20" s="1">
        <v>3</v>
      </c>
      <c r="E20" s="1">
        <v>4</v>
      </c>
      <c r="F20" s="1">
        <v>73.333333330000002</v>
      </c>
      <c r="G20" s="1">
        <v>100</v>
      </c>
      <c r="H20" s="1">
        <v>73.333333330000002</v>
      </c>
      <c r="I20" s="16">
        <v>45</v>
      </c>
      <c r="J20" s="1">
        <v>47.5</v>
      </c>
      <c r="K20" s="1">
        <v>50</v>
      </c>
      <c r="L20" s="1">
        <v>20.833333329999999</v>
      </c>
      <c r="M20" s="1">
        <v>30.833333329999999</v>
      </c>
      <c r="N20" s="1">
        <v>46.666666669999998</v>
      </c>
    </row>
    <row r="21" spans="1:14" x14ac:dyDescent="0.35">
      <c r="A21" s="2">
        <v>19</v>
      </c>
      <c r="B21" s="3" t="s">
        <v>19</v>
      </c>
      <c r="C21" s="1">
        <v>3.4666666670000001</v>
      </c>
      <c r="D21" s="1">
        <v>4</v>
      </c>
      <c r="E21" s="1">
        <v>3.6</v>
      </c>
      <c r="F21" s="1">
        <v>93.333333300000007</v>
      </c>
      <c r="G21" s="1">
        <v>80</v>
      </c>
      <c r="H21" s="1">
        <v>93.333333330000002</v>
      </c>
      <c r="I21" s="16">
        <v>65</v>
      </c>
      <c r="J21" s="1">
        <v>35</v>
      </c>
      <c r="K21" s="1">
        <v>37.5</v>
      </c>
      <c r="L21" s="1">
        <v>24.166666670000001</v>
      </c>
      <c r="M21" s="1">
        <v>36.666666669999998</v>
      </c>
      <c r="N21" s="1">
        <v>32.5</v>
      </c>
    </row>
    <row r="22" spans="1:14" x14ac:dyDescent="0.35">
      <c r="A22" s="2">
        <v>20</v>
      </c>
      <c r="B22" s="3" t="s">
        <v>20</v>
      </c>
      <c r="C22" s="1">
        <v>3.4666666670000001</v>
      </c>
      <c r="D22" s="1">
        <v>2.9333333330000002</v>
      </c>
      <c r="E22" s="1">
        <v>2.8</v>
      </c>
      <c r="F22" s="1">
        <v>86.666666699999993</v>
      </c>
      <c r="G22" s="1">
        <v>93.333333330000002</v>
      </c>
      <c r="H22" s="1">
        <v>80</v>
      </c>
      <c r="I22" s="16">
        <v>45</v>
      </c>
      <c r="J22" s="1">
        <v>47.5</v>
      </c>
      <c r="K22" s="1">
        <v>45</v>
      </c>
      <c r="L22" s="1">
        <v>24.166666670000001</v>
      </c>
      <c r="M22" s="1">
        <v>15</v>
      </c>
      <c r="N22" s="1">
        <v>26.666666670000001</v>
      </c>
    </row>
    <row r="23" spans="1:14" x14ac:dyDescent="0.35">
      <c r="A23" s="2">
        <v>21</v>
      </c>
      <c r="B23" s="3" t="s">
        <v>21</v>
      </c>
      <c r="C23" s="1">
        <v>3.1333333329999999</v>
      </c>
      <c r="D23" s="1">
        <v>3.4666666670000001</v>
      </c>
      <c r="E23" s="1">
        <v>3.6666666669999999</v>
      </c>
      <c r="F23" s="1">
        <v>86.666666699999993</v>
      </c>
      <c r="G23" s="1">
        <v>86.666666669999998</v>
      </c>
      <c r="H23" s="1">
        <v>86.666666669999998</v>
      </c>
      <c r="I23" s="16">
        <v>50</v>
      </c>
      <c r="J23" s="1">
        <v>55</v>
      </c>
      <c r="K23" s="1">
        <v>42.5</v>
      </c>
      <c r="L23" s="1">
        <v>43.333333330000002</v>
      </c>
      <c r="M23" s="1">
        <v>33.333333330000002</v>
      </c>
      <c r="N23" s="1">
        <v>23.333333329999999</v>
      </c>
    </row>
    <row r="24" spans="1:14" x14ac:dyDescent="0.35">
      <c r="A24" s="2">
        <v>22</v>
      </c>
      <c r="B24" s="3" t="s">
        <v>22</v>
      </c>
      <c r="C24" s="1">
        <v>2.4666666670000001</v>
      </c>
      <c r="D24" s="1">
        <v>3.8</v>
      </c>
      <c r="E24" s="1">
        <v>3.6666666669999999</v>
      </c>
      <c r="F24" s="1">
        <v>80</v>
      </c>
      <c r="G24" s="1">
        <v>80</v>
      </c>
      <c r="H24" s="1">
        <v>100</v>
      </c>
      <c r="I24" s="16">
        <v>37.5</v>
      </c>
      <c r="J24" s="1">
        <v>40</v>
      </c>
      <c r="K24" s="1">
        <v>47.5</v>
      </c>
      <c r="L24" s="1">
        <v>30.833333329999999</v>
      </c>
      <c r="M24" s="1">
        <v>28.333333329999999</v>
      </c>
      <c r="N24" s="1">
        <v>25</v>
      </c>
    </row>
    <row r="25" spans="1:14" x14ac:dyDescent="0.35">
      <c r="A25" s="2">
        <v>23</v>
      </c>
      <c r="B25" s="3" t="s">
        <v>23</v>
      </c>
      <c r="C25" s="1">
        <v>3.1333333329999999</v>
      </c>
      <c r="D25" s="1">
        <v>3.4</v>
      </c>
      <c r="E25" s="1">
        <v>3.8</v>
      </c>
      <c r="F25" s="1">
        <v>93.333333330000002</v>
      </c>
      <c r="G25" s="1">
        <v>93.333333330000002</v>
      </c>
      <c r="H25" s="1">
        <v>93.333333330000002</v>
      </c>
      <c r="I25" s="16">
        <v>52.5</v>
      </c>
      <c r="J25" s="1">
        <v>42.5</v>
      </c>
      <c r="K25" s="1">
        <v>70</v>
      </c>
      <c r="L25" s="1">
        <v>30</v>
      </c>
      <c r="M25" s="1">
        <v>24.166666670000001</v>
      </c>
      <c r="N25" s="1">
        <v>30</v>
      </c>
    </row>
    <row r="26" spans="1:14" x14ac:dyDescent="0.35">
      <c r="A26" s="2">
        <v>24</v>
      </c>
      <c r="B26" s="3" t="s">
        <v>24</v>
      </c>
      <c r="C26" s="1">
        <v>3.4666666670000001</v>
      </c>
      <c r="D26" s="1">
        <v>3.0666666669999998</v>
      </c>
      <c r="E26" s="1">
        <v>3.4666666670000001</v>
      </c>
      <c r="F26" s="1">
        <v>80</v>
      </c>
      <c r="G26" s="1">
        <v>86.666666669999998</v>
      </c>
      <c r="H26" s="1">
        <v>93.333333330000002</v>
      </c>
      <c r="I26" s="16">
        <v>37.5</v>
      </c>
      <c r="J26" s="1">
        <v>45</v>
      </c>
      <c r="K26" s="1">
        <v>52.5</v>
      </c>
      <c r="L26" s="1">
        <v>30.833333329999999</v>
      </c>
      <c r="M26" s="1">
        <v>18.333333329999999</v>
      </c>
      <c r="N26" s="1">
        <v>24.166666670000001</v>
      </c>
    </row>
    <row r="27" spans="1:14" x14ac:dyDescent="0.35">
      <c r="A27" s="2">
        <v>25</v>
      </c>
      <c r="B27" s="3" t="s">
        <v>25</v>
      </c>
      <c r="C27" s="1">
        <v>3.8</v>
      </c>
      <c r="D27" s="1">
        <v>3.2</v>
      </c>
      <c r="E27" s="1">
        <v>3.4</v>
      </c>
      <c r="F27" s="1">
        <v>86.666666669999998</v>
      </c>
      <c r="G27" s="1">
        <v>93.333333330000002</v>
      </c>
      <c r="H27" s="1">
        <v>93.333333330000002</v>
      </c>
      <c r="I27" s="16">
        <v>57.5</v>
      </c>
      <c r="J27" s="1">
        <v>50</v>
      </c>
      <c r="K27" s="1">
        <v>82.5</v>
      </c>
      <c r="L27" s="1">
        <v>36.666666669999998</v>
      </c>
      <c r="M27" s="1">
        <v>57.5</v>
      </c>
      <c r="N27" s="1">
        <v>36.666666669999998</v>
      </c>
    </row>
    <row r="28" spans="1:14" x14ac:dyDescent="0.35">
      <c r="A28" s="2">
        <v>26</v>
      </c>
      <c r="B28" s="3" t="s">
        <v>26</v>
      </c>
      <c r="C28" s="1">
        <v>3.733333333</v>
      </c>
      <c r="D28" s="1">
        <v>3.4</v>
      </c>
      <c r="E28" s="1">
        <v>2.9333333330000002</v>
      </c>
      <c r="F28" s="1">
        <v>86.666666669999998</v>
      </c>
      <c r="G28" s="1">
        <v>93.333333330000002</v>
      </c>
      <c r="H28" s="1">
        <v>93.333333330000002</v>
      </c>
      <c r="I28" s="16">
        <v>67.5</v>
      </c>
      <c r="J28" s="1">
        <v>42.5</v>
      </c>
      <c r="K28" s="1">
        <v>35</v>
      </c>
      <c r="L28" s="1">
        <v>24.166666670000001</v>
      </c>
      <c r="M28" s="1">
        <v>27.5</v>
      </c>
      <c r="N28" s="1">
        <v>30</v>
      </c>
    </row>
    <row r="29" spans="1:14" x14ac:dyDescent="0.35">
      <c r="A29" s="2">
        <v>27</v>
      </c>
      <c r="B29" s="3" t="s">
        <v>27</v>
      </c>
      <c r="C29" s="1">
        <v>2.4666666670000001</v>
      </c>
      <c r="D29" s="1">
        <v>3.5333333329999999</v>
      </c>
      <c r="E29" s="1">
        <v>3.266666667</v>
      </c>
      <c r="F29" s="1">
        <v>100</v>
      </c>
      <c r="G29" s="1">
        <v>93.333333330000002</v>
      </c>
      <c r="H29" s="1">
        <v>93.333333330000002</v>
      </c>
      <c r="I29" s="16">
        <v>47.5</v>
      </c>
      <c r="J29" s="1">
        <v>50</v>
      </c>
      <c r="K29" s="1">
        <v>45</v>
      </c>
      <c r="L29" s="1">
        <v>37.5</v>
      </c>
      <c r="M29" s="1">
        <v>33.333333330000002</v>
      </c>
      <c r="N29" s="1">
        <v>24.166666670000001</v>
      </c>
    </row>
    <row r="30" spans="1:14" x14ac:dyDescent="0.35">
      <c r="A30" s="2">
        <v>28</v>
      </c>
      <c r="B30" s="3" t="s">
        <v>28</v>
      </c>
      <c r="C30" s="1">
        <v>3.0666666669999998</v>
      </c>
      <c r="D30" s="1">
        <v>3.0666666669999998</v>
      </c>
      <c r="E30" s="1">
        <v>2.8</v>
      </c>
      <c r="F30" s="1">
        <v>53.333333330000002</v>
      </c>
      <c r="G30" s="1">
        <v>86.666666669999998</v>
      </c>
      <c r="H30" s="1">
        <v>93.333333330000002</v>
      </c>
      <c r="I30" s="16">
        <v>50</v>
      </c>
      <c r="J30" s="1">
        <v>42.5</v>
      </c>
      <c r="K30" s="1">
        <v>57.5</v>
      </c>
      <c r="L30" s="1">
        <v>33.333333330000002</v>
      </c>
      <c r="M30" s="1">
        <v>26.666666670000001</v>
      </c>
      <c r="N30" s="1">
        <v>36.666666669999998</v>
      </c>
    </row>
    <row r="31" spans="1:14" x14ac:dyDescent="0.35">
      <c r="A31" s="2">
        <v>29</v>
      </c>
      <c r="B31" s="3" t="s">
        <v>29</v>
      </c>
      <c r="C31" s="1">
        <v>3.5333333329999999</v>
      </c>
      <c r="D31" s="1">
        <v>3.3333333330000001</v>
      </c>
      <c r="E31" s="1">
        <v>3.5333333329999999</v>
      </c>
      <c r="F31" s="1">
        <v>93.333333330000002</v>
      </c>
      <c r="G31" s="1">
        <v>100</v>
      </c>
      <c r="H31" s="1">
        <v>86.666666669999998</v>
      </c>
      <c r="I31" s="16">
        <v>52.5</v>
      </c>
      <c r="J31" s="1">
        <v>52.5</v>
      </c>
      <c r="K31" s="1">
        <v>50</v>
      </c>
      <c r="L31" s="1">
        <v>30</v>
      </c>
      <c r="M31" s="1">
        <v>30.833333329999999</v>
      </c>
      <c r="N31" s="1">
        <v>21.666666670000001</v>
      </c>
    </row>
    <row r="32" spans="1:14" x14ac:dyDescent="0.35">
      <c r="A32" s="2">
        <v>30</v>
      </c>
      <c r="B32" s="3" t="s">
        <v>30</v>
      </c>
      <c r="C32" s="1">
        <v>3.6666666669999999</v>
      </c>
      <c r="D32" s="1">
        <v>3.6666666669999999</v>
      </c>
      <c r="E32" s="1">
        <v>2.9333333330000002</v>
      </c>
      <c r="F32" s="1">
        <v>100</v>
      </c>
      <c r="G32" s="1">
        <v>86.666666669999998</v>
      </c>
      <c r="H32" s="1">
        <v>93.333333330000002</v>
      </c>
      <c r="I32" s="16">
        <v>42.5</v>
      </c>
      <c r="J32" s="1">
        <v>37.5</v>
      </c>
      <c r="K32" s="1">
        <v>67.5</v>
      </c>
      <c r="L32" s="1">
        <v>25</v>
      </c>
      <c r="M32" s="1">
        <v>38.333333330000002</v>
      </c>
      <c r="N32" s="1">
        <v>29.166666670000001</v>
      </c>
    </row>
    <row r="33" spans="1:14" x14ac:dyDescent="0.35">
      <c r="A33" s="2">
        <v>31</v>
      </c>
      <c r="B33" s="3" t="s">
        <v>31</v>
      </c>
      <c r="C33" s="1">
        <v>4.2</v>
      </c>
      <c r="D33" s="1">
        <v>3.0666666669999998</v>
      </c>
      <c r="E33" s="1">
        <v>3.4</v>
      </c>
      <c r="F33" s="1">
        <v>86.666666669999998</v>
      </c>
      <c r="G33" s="1">
        <v>86.666666669999998</v>
      </c>
      <c r="H33" s="1">
        <v>86.666666669999998</v>
      </c>
      <c r="I33" s="16">
        <v>60</v>
      </c>
      <c r="J33" s="1">
        <v>55</v>
      </c>
      <c r="K33" s="1">
        <v>45</v>
      </c>
      <c r="L33" s="1">
        <v>37.5</v>
      </c>
      <c r="M33" s="1">
        <v>21.666666670000001</v>
      </c>
      <c r="N33" s="1">
        <v>36.666666669999998</v>
      </c>
    </row>
    <row r="34" spans="1:14" x14ac:dyDescent="0.35">
      <c r="A34" s="2">
        <v>32</v>
      </c>
      <c r="B34" s="3" t="s">
        <v>32</v>
      </c>
      <c r="C34" s="1">
        <v>3.6666666669999999</v>
      </c>
      <c r="D34" s="1">
        <v>3.4</v>
      </c>
      <c r="E34" s="1">
        <v>3.4</v>
      </c>
      <c r="F34" s="1">
        <v>86.666666669999998</v>
      </c>
      <c r="G34" s="1">
        <v>93.333333330000002</v>
      </c>
      <c r="H34" s="1">
        <v>93.333333330000002</v>
      </c>
      <c r="I34" s="16">
        <v>47.5</v>
      </c>
      <c r="J34" s="1">
        <v>42.5</v>
      </c>
      <c r="K34" s="1">
        <v>50</v>
      </c>
      <c r="L34" s="1">
        <v>24.166666670000001</v>
      </c>
      <c r="M34" s="1">
        <v>15</v>
      </c>
      <c r="N34" s="1">
        <v>22.5</v>
      </c>
    </row>
    <row r="35" spans="1:14" x14ac:dyDescent="0.35">
      <c r="A35" s="2">
        <v>33</v>
      </c>
      <c r="B35" s="3" t="s">
        <v>33</v>
      </c>
      <c r="C35" s="1">
        <v>3.266666667</v>
      </c>
      <c r="D35" s="1">
        <v>2.9333333330000002</v>
      </c>
      <c r="E35" s="1">
        <v>2.9333333330000002</v>
      </c>
      <c r="F35" s="1">
        <v>86.666666669999998</v>
      </c>
      <c r="G35" s="1">
        <v>100</v>
      </c>
      <c r="H35" s="1">
        <v>100</v>
      </c>
      <c r="I35" s="16">
        <v>40</v>
      </c>
      <c r="J35" s="1">
        <v>40</v>
      </c>
      <c r="K35" s="1">
        <v>52.5</v>
      </c>
      <c r="L35" s="1">
        <v>24.166666670000001</v>
      </c>
      <c r="M35" s="1">
        <v>36.666666669999998</v>
      </c>
      <c r="N35" s="1">
        <v>50</v>
      </c>
    </row>
    <row r="36" spans="1:14" x14ac:dyDescent="0.35">
      <c r="A36" s="2">
        <v>34</v>
      </c>
      <c r="B36" s="3" t="s">
        <v>34</v>
      </c>
      <c r="C36" s="1">
        <v>3.4</v>
      </c>
      <c r="D36" s="1">
        <v>2.9333333330000002</v>
      </c>
      <c r="E36" s="1">
        <v>3.4666666670000001</v>
      </c>
      <c r="F36" s="1">
        <v>100</v>
      </c>
      <c r="G36" s="1">
        <v>93.333333330000002</v>
      </c>
      <c r="H36" s="1">
        <v>86.666666669999998</v>
      </c>
      <c r="I36" s="16">
        <v>37.5</v>
      </c>
      <c r="J36" s="1">
        <v>45</v>
      </c>
      <c r="K36" s="1">
        <v>55</v>
      </c>
      <c r="L36" s="1">
        <v>24.166666670000001</v>
      </c>
      <c r="M36" s="1">
        <v>27.5</v>
      </c>
      <c r="N36" s="1">
        <v>25</v>
      </c>
    </row>
    <row r="37" spans="1:14" x14ac:dyDescent="0.35">
      <c r="A37" s="2">
        <v>35</v>
      </c>
      <c r="B37" s="3" t="s">
        <v>35</v>
      </c>
      <c r="C37" s="1">
        <v>3.8666666670000001</v>
      </c>
      <c r="D37" s="1">
        <v>3.8666666670000001</v>
      </c>
      <c r="E37" s="1">
        <v>3.0666666669999998</v>
      </c>
      <c r="F37" s="1">
        <v>86.666666669999998</v>
      </c>
      <c r="G37" s="1">
        <v>100</v>
      </c>
      <c r="H37" s="1">
        <v>100</v>
      </c>
      <c r="I37" s="16">
        <v>52.5</v>
      </c>
      <c r="J37" s="1">
        <v>62.5</v>
      </c>
      <c r="K37" s="1">
        <v>62.5</v>
      </c>
      <c r="L37" s="1">
        <v>38.333333330000002</v>
      </c>
      <c r="M37" s="1">
        <v>52.5</v>
      </c>
      <c r="N37" s="1">
        <v>51.666666669999998</v>
      </c>
    </row>
    <row r="38" spans="1:14" x14ac:dyDescent="0.35">
      <c r="A38" s="2">
        <v>36</v>
      </c>
      <c r="B38" s="3" t="s">
        <v>36</v>
      </c>
      <c r="C38" s="1">
        <v>3.5333333329999999</v>
      </c>
      <c r="D38" s="1">
        <v>3.0666666669999998</v>
      </c>
      <c r="E38" s="1">
        <v>3.8</v>
      </c>
      <c r="F38" s="1">
        <v>93.333333330000002</v>
      </c>
      <c r="G38" s="1">
        <v>100</v>
      </c>
      <c r="H38" s="1">
        <v>100</v>
      </c>
      <c r="I38" s="16">
        <v>50</v>
      </c>
      <c r="J38" s="1">
        <v>40</v>
      </c>
      <c r="K38" s="1">
        <v>70</v>
      </c>
      <c r="L38" s="1">
        <v>37.5</v>
      </c>
      <c r="M38" s="1">
        <v>36.666666669999998</v>
      </c>
      <c r="N38" s="1">
        <v>46.666666669999998</v>
      </c>
    </row>
    <row r="39" spans="1:14" x14ac:dyDescent="0.35">
      <c r="A39" s="2">
        <v>37</v>
      </c>
      <c r="B39" s="3" t="s">
        <v>37</v>
      </c>
      <c r="C39" s="1">
        <v>3.733333333</v>
      </c>
      <c r="D39" s="1">
        <v>3.2</v>
      </c>
      <c r="E39" s="1">
        <v>3.6666666669999999</v>
      </c>
      <c r="F39" s="1">
        <v>93.333333330000002</v>
      </c>
      <c r="G39" s="1">
        <v>100</v>
      </c>
      <c r="H39" s="1">
        <v>93.333333330000002</v>
      </c>
      <c r="I39" s="16">
        <v>55</v>
      </c>
      <c r="J39" s="1">
        <v>67.5</v>
      </c>
      <c r="K39" s="1">
        <v>60</v>
      </c>
      <c r="L39" s="1">
        <v>46.666666669999998</v>
      </c>
      <c r="M39" s="1">
        <v>26.666666670000001</v>
      </c>
      <c r="N39" s="1">
        <v>36.666666669999998</v>
      </c>
    </row>
    <row r="40" spans="1:14" x14ac:dyDescent="0.35">
      <c r="A40" s="2">
        <v>38</v>
      </c>
      <c r="B40" s="3" t="s">
        <v>38</v>
      </c>
      <c r="C40" s="1">
        <v>3.266666667</v>
      </c>
      <c r="D40" s="1">
        <v>3.1333333329999999</v>
      </c>
      <c r="E40" s="1">
        <v>3.4666666670000001</v>
      </c>
      <c r="F40" s="1">
        <v>93.333333330000002</v>
      </c>
      <c r="G40" s="1">
        <v>93.333333330000002</v>
      </c>
      <c r="H40" s="1">
        <v>100</v>
      </c>
      <c r="I40" s="16">
        <v>57.5</v>
      </c>
      <c r="J40" s="1">
        <v>50</v>
      </c>
      <c r="K40" s="1">
        <v>45</v>
      </c>
      <c r="L40" s="1">
        <v>40</v>
      </c>
      <c r="M40" s="1">
        <v>33.333333330000002</v>
      </c>
      <c r="N40" s="1">
        <v>18.333333329999999</v>
      </c>
    </row>
    <row r="41" spans="1:14" x14ac:dyDescent="0.35">
      <c r="A41" s="2">
        <v>39</v>
      </c>
      <c r="B41" s="3" t="s">
        <v>39</v>
      </c>
      <c r="C41" s="1">
        <v>3.4666666670000001</v>
      </c>
      <c r="D41" s="1">
        <v>3.0666666669999998</v>
      </c>
      <c r="E41" s="1">
        <v>4.0666666669999998</v>
      </c>
      <c r="F41" s="1">
        <v>93.333333330000002</v>
      </c>
      <c r="G41" s="1">
        <v>100</v>
      </c>
      <c r="H41" s="1">
        <v>86.666666669999998</v>
      </c>
      <c r="I41" s="16">
        <v>57.5</v>
      </c>
      <c r="J41" s="1">
        <v>57.5</v>
      </c>
      <c r="K41" s="1">
        <v>50</v>
      </c>
      <c r="L41" s="1">
        <v>40</v>
      </c>
      <c r="M41" s="1">
        <v>48.333333330000002</v>
      </c>
      <c r="N41" s="1">
        <v>36.666666669999998</v>
      </c>
    </row>
    <row r="42" spans="1:14" x14ac:dyDescent="0.35">
      <c r="A42" s="2">
        <v>40</v>
      </c>
      <c r="B42" s="3" t="s">
        <v>40</v>
      </c>
      <c r="C42" s="1">
        <v>3.8666666670000001</v>
      </c>
      <c r="D42" s="1">
        <v>3.3333333330000001</v>
      </c>
      <c r="E42" s="1">
        <v>3</v>
      </c>
      <c r="F42" s="1">
        <v>86.666666669999998</v>
      </c>
      <c r="G42" s="1">
        <v>100</v>
      </c>
      <c r="H42" s="1">
        <v>93.333333330000002</v>
      </c>
      <c r="I42" s="16">
        <v>47.5</v>
      </c>
      <c r="J42" s="1">
        <v>47.5</v>
      </c>
      <c r="K42" s="1">
        <v>42.5</v>
      </c>
      <c r="L42" s="1">
        <v>26.666666670000001</v>
      </c>
      <c r="M42" s="1">
        <v>30</v>
      </c>
      <c r="N42" s="1">
        <v>68.333333330000002</v>
      </c>
    </row>
    <row r="43" spans="1:14" x14ac:dyDescent="0.35">
      <c r="A43" s="2">
        <v>41</v>
      </c>
      <c r="B43" s="3" t="s">
        <v>41</v>
      </c>
      <c r="C43" s="1">
        <v>3.6666666669999999</v>
      </c>
      <c r="D43" s="1">
        <v>2.4</v>
      </c>
      <c r="E43" s="1">
        <v>3.1333333329999999</v>
      </c>
      <c r="F43" s="1">
        <v>100</v>
      </c>
      <c r="G43" s="1">
        <v>93.333333330000002</v>
      </c>
      <c r="H43" s="1">
        <v>100</v>
      </c>
      <c r="I43" s="16">
        <v>40</v>
      </c>
      <c r="J43" s="1">
        <v>52.5</v>
      </c>
      <c r="K43" s="1">
        <v>42.5</v>
      </c>
      <c r="L43" s="1">
        <v>27.5</v>
      </c>
      <c r="M43" s="1">
        <v>38.333333330000002</v>
      </c>
      <c r="N43" s="1">
        <v>30.833333329999999</v>
      </c>
    </row>
    <row r="44" spans="1:14" x14ac:dyDescent="0.35">
      <c r="A44" s="2">
        <v>42</v>
      </c>
      <c r="B44" s="3" t="s">
        <v>42</v>
      </c>
      <c r="C44" s="1">
        <v>4.3333333329999997</v>
      </c>
      <c r="D44" s="1">
        <v>2.9333333330000002</v>
      </c>
      <c r="E44" s="1">
        <v>3.4666666670000001</v>
      </c>
      <c r="F44" s="1">
        <v>93.333333330000002</v>
      </c>
      <c r="G44" s="1">
        <v>100</v>
      </c>
      <c r="H44" s="1">
        <v>100</v>
      </c>
      <c r="I44" s="16">
        <v>60</v>
      </c>
      <c r="J44" s="1">
        <v>35</v>
      </c>
      <c r="K44" s="1">
        <v>50</v>
      </c>
      <c r="L44" s="1">
        <v>30</v>
      </c>
      <c r="M44" s="1">
        <v>36.666666669999998</v>
      </c>
      <c r="N44" s="1">
        <v>26.666666670000001</v>
      </c>
    </row>
    <row r="45" spans="1:14" x14ac:dyDescent="0.35">
      <c r="A45" s="2">
        <v>43</v>
      </c>
      <c r="B45" s="3" t="s">
        <v>43</v>
      </c>
      <c r="C45" s="1">
        <v>4.1333333330000004</v>
      </c>
      <c r="D45" s="1">
        <v>3.4666666670000001</v>
      </c>
      <c r="E45" s="1">
        <v>3.6</v>
      </c>
      <c r="F45" s="1">
        <v>93.333333330000002</v>
      </c>
      <c r="G45" s="1">
        <v>93.333333330000002</v>
      </c>
      <c r="H45" s="1">
        <v>100</v>
      </c>
      <c r="I45" s="16">
        <v>57.5</v>
      </c>
      <c r="J45" s="1">
        <v>35</v>
      </c>
      <c r="K45" s="1">
        <v>67.5</v>
      </c>
      <c r="L45" s="1">
        <v>40</v>
      </c>
      <c r="M45" s="1">
        <v>28.333333329999999</v>
      </c>
      <c r="N45" s="1">
        <v>30</v>
      </c>
    </row>
    <row r="46" spans="1:14" x14ac:dyDescent="0.35">
      <c r="A46" s="2">
        <v>44</v>
      </c>
      <c r="B46" s="3" t="s">
        <v>71</v>
      </c>
      <c r="C46" s="1">
        <v>3.6</v>
      </c>
      <c r="D46" s="1">
        <v>3.6</v>
      </c>
      <c r="E46" s="1">
        <v>3.8666666670000001</v>
      </c>
      <c r="F46" s="1">
        <v>100</v>
      </c>
      <c r="G46" s="1">
        <v>93.333333330000002</v>
      </c>
      <c r="H46" s="1">
        <v>100</v>
      </c>
      <c r="I46" s="16">
        <v>62.5</v>
      </c>
      <c r="J46" s="1">
        <v>40</v>
      </c>
      <c r="K46" s="1">
        <v>57.5</v>
      </c>
      <c r="L46" s="1">
        <v>33.333333330000002</v>
      </c>
      <c r="M46" s="1">
        <v>30.833333329999999</v>
      </c>
      <c r="N46" s="1">
        <v>48.333333330000002</v>
      </c>
    </row>
    <row r="47" spans="1:14" x14ac:dyDescent="0.35">
      <c r="A47" s="49" t="s">
        <v>173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57"/>
    </row>
    <row r="48" spans="1:14" ht="43.5" x14ac:dyDescent="0.35">
      <c r="A48" s="13"/>
      <c r="B48" s="3"/>
      <c r="C48" s="8" t="s">
        <v>105</v>
      </c>
      <c r="D48" s="8" t="s">
        <v>104</v>
      </c>
      <c r="E48" s="8" t="s">
        <v>106</v>
      </c>
      <c r="F48" s="8" t="s">
        <v>107</v>
      </c>
      <c r="G48" s="8" t="s">
        <v>108</v>
      </c>
      <c r="H48" s="8" t="s">
        <v>109</v>
      </c>
      <c r="I48" s="8" t="s">
        <v>97</v>
      </c>
      <c r="J48" s="8" t="s">
        <v>98</v>
      </c>
      <c r="K48" s="8" t="s">
        <v>99</v>
      </c>
      <c r="L48" s="8" t="s">
        <v>100</v>
      </c>
      <c r="M48" s="8" t="s">
        <v>101</v>
      </c>
      <c r="N48" s="8" t="s">
        <v>102</v>
      </c>
    </row>
    <row r="49" spans="2:14" ht="18.5" x14ac:dyDescent="0.45">
      <c r="B49" s="18" t="s">
        <v>119</v>
      </c>
      <c r="C49" s="1">
        <f t="shared" ref="C49:I49" si="0">AVERAGE(C3:C46)</f>
        <v>3.4484848485000001</v>
      </c>
      <c r="D49" s="1">
        <f t="shared" si="0"/>
        <v>3.306060606045456</v>
      </c>
      <c r="E49" s="1">
        <f t="shared" si="0"/>
        <v>3.4303030304090907</v>
      </c>
      <c r="F49" s="1">
        <f t="shared" si="0"/>
        <v>87.878787879318182</v>
      </c>
      <c r="G49" s="1">
        <f t="shared" si="0"/>
        <v>92.272727272272746</v>
      </c>
      <c r="H49" s="1">
        <f t="shared" si="0"/>
        <v>91.666666665909119</v>
      </c>
      <c r="I49" s="1">
        <f t="shared" si="0"/>
        <v>49.94318181818182</v>
      </c>
      <c r="J49" s="1">
        <f>AVERAGE(J4:J46)</f>
        <v>47.325581395348834</v>
      </c>
      <c r="K49" s="1">
        <f>AVERAGE(K3:K46)</f>
        <v>52.55681818181818</v>
      </c>
      <c r="L49" s="1">
        <f>AVERAGE(L3:L46)</f>
        <v>31.155303030454547</v>
      </c>
      <c r="M49" s="1">
        <f>AVERAGE(M3:M46)</f>
        <v>30.890151514999999</v>
      </c>
      <c r="N49" s="1">
        <f>AVERAGE(N3:N46)</f>
        <v>30.662878788863644</v>
      </c>
    </row>
    <row r="50" spans="2:14" ht="18.5" x14ac:dyDescent="0.45">
      <c r="B50" s="18" t="s">
        <v>121</v>
      </c>
      <c r="C50" s="1">
        <f t="shared" ref="C50:N50" si="1">STDEV(C3:C46)</f>
        <v>0.40061029315815255</v>
      </c>
      <c r="D50" s="1">
        <f t="shared" si="1"/>
        <v>0.3266993123789152</v>
      </c>
      <c r="E50" s="1">
        <f t="shared" si="1"/>
        <v>0.34788531942935674</v>
      </c>
      <c r="F50" s="1">
        <f t="shared" si="1"/>
        <v>9.348020256473129</v>
      </c>
      <c r="G50" s="1">
        <f t="shared" si="1"/>
        <v>7.0352647062301603</v>
      </c>
      <c r="H50" s="1">
        <f t="shared" si="1"/>
        <v>6.7628717347570007</v>
      </c>
      <c r="I50" s="1">
        <f t="shared" si="1"/>
        <v>9.1893618405165025</v>
      </c>
      <c r="J50" s="1">
        <f t="shared" si="1"/>
        <v>8.8000681695418379</v>
      </c>
      <c r="K50" s="1">
        <f t="shared" si="1"/>
        <v>10.558373679543221</v>
      </c>
      <c r="L50" s="1">
        <f t="shared" si="1"/>
        <v>9.4933267552002913</v>
      </c>
      <c r="M50" s="1">
        <f t="shared" si="1"/>
        <v>9.927706588659154</v>
      </c>
      <c r="N50" s="1">
        <f t="shared" si="1"/>
        <v>11.726837560548235</v>
      </c>
    </row>
    <row r="51" spans="2:14" ht="18.5" x14ac:dyDescent="0.45">
      <c r="B51" s="18" t="s">
        <v>120</v>
      </c>
      <c r="C51" s="1">
        <f t="shared" ref="C51:N51" si="2">SKEW(C3:C46)</f>
        <v>-0.20824144046158408</v>
      </c>
      <c r="D51" s="1">
        <f t="shared" si="2"/>
        <v>-0.27485506273576993</v>
      </c>
      <c r="E51" s="1">
        <f t="shared" si="2"/>
        <v>0.28344662819863914</v>
      </c>
      <c r="F51" s="1">
        <f t="shared" si="2"/>
        <v>-1.3995970261178623</v>
      </c>
      <c r="G51" s="1">
        <f t="shared" si="2"/>
        <v>-0.66272744327019506</v>
      </c>
      <c r="H51" s="1">
        <f t="shared" si="2"/>
        <v>-0.8664313616275966</v>
      </c>
      <c r="I51" s="1">
        <f t="shared" si="2"/>
        <v>-0.39313472548639927</v>
      </c>
      <c r="J51" s="1">
        <f t="shared" si="2"/>
        <v>0.54853715622258703</v>
      </c>
      <c r="K51" s="1">
        <f t="shared" si="2"/>
        <v>0.85663843793847727</v>
      </c>
      <c r="L51" s="1">
        <f t="shared" si="2"/>
        <v>0.53524800930616889</v>
      </c>
      <c r="M51" s="1">
        <f t="shared" si="2"/>
        <v>0.32917709221095931</v>
      </c>
      <c r="N51" s="1">
        <f t="shared" si="2"/>
        <v>0.96076431631192338</v>
      </c>
    </row>
    <row r="52" spans="2:14" ht="18.5" x14ac:dyDescent="0.45">
      <c r="B52" s="18" t="s">
        <v>210</v>
      </c>
      <c r="C52" s="1">
        <f t="shared" ref="C52:N52" si="3">KURT(C3:C46)</f>
        <v>0.47359071859875179</v>
      </c>
      <c r="D52" s="1">
        <f t="shared" si="3"/>
        <v>0.20567318705737936</v>
      </c>
      <c r="E52" s="1">
        <f t="shared" si="3"/>
        <v>-0.11596740955680707</v>
      </c>
      <c r="F52" s="60">
        <v>0.36</v>
      </c>
      <c r="G52" s="1">
        <f t="shared" si="3"/>
        <v>-0.17341030904170651</v>
      </c>
      <c r="H52" s="1">
        <f t="shared" si="3"/>
        <v>0.84687507474769363</v>
      </c>
      <c r="I52" s="1">
        <f t="shared" si="3"/>
        <v>0.50908934227932523</v>
      </c>
      <c r="J52" s="1">
        <f t="shared" si="3"/>
        <v>0.15106486936655017</v>
      </c>
      <c r="K52" s="1">
        <f t="shared" si="3"/>
        <v>0.36697583672094813</v>
      </c>
      <c r="L52" s="1">
        <f t="shared" si="3"/>
        <v>-0.14529003277075869</v>
      </c>
      <c r="M52" s="1">
        <f t="shared" si="3"/>
        <v>0.36864328520138301</v>
      </c>
      <c r="N52" s="1">
        <f t="shared" si="3"/>
        <v>1.2553843113258787</v>
      </c>
    </row>
  </sheetData>
  <mergeCells count="2">
    <mergeCell ref="A1:B1"/>
    <mergeCell ref="A47:N47"/>
  </mergeCells>
  <phoneticPr fontId="5" type="noConversion"/>
  <hyperlinks>
    <hyperlink ref="B3" r:id="rId1" xr:uid="{BF8F1AD3-3BC1-428C-848C-0E315DA5FDA1}"/>
    <hyperlink ref="B4" r:id="rId2" xr:uid="{80037279-229B-420D-BF91-9ECA7C5DCFB2}"/>
    <hyperlink ref="B5" r:id="rId3" xr:uid="{DEA119BF-749D-4927-BCD3-971AD4983564}"/>
    <hyperlink ref="B6" r:id="rId4" xr:uid="{BB4724B9-30AA-4E15-8B29-995E539A96C7}"/>
    <hyperlink ref="B7" r:id="rId5" xr:uid="{C24F3293-BAC9-4B62-B907-58F572DCED45}"/>
    <hyperlink ref="B8" r:id="rId6" xr:uid="{87E563D3-4158-4AE9-BB2F-B0EF45932691}"/>
    <hyperlink ref="B9" r:id="rId7" xr:uid="{D534CBF3-0550-4B96-A355-C48C5079A4FB}"/>
    <hyperlink ref="B10" r:id="rId8" xr:uid="{581AB517-4825-4A53-A36F-2AB8483FDF8B}"/>
    <hyperlink ref="B11" r:id="rId9" xr:uid="{36E0E84C-9371-4822-B18D-A6D666C921B0}"/>
    <hyperlink ref="B12" r:id="rId10" xr:uid="{4CE9F102-0EC0-48E9-9A1E-67FBD0CFEEC8}"/>
    <hyperlink ref="B13" r:id="rId11" xr:uid="{AC0F9CAF-4733-44E6-BB9D-3C99642C9845}"/>
    <hyperlink ref="B14" r:id="rId12" xr:uid="{C6B14908-073A-41BF-923B-84BF0B7C9DD3}"/>
    <hyperlink ref="B15" r:id="rId13" xr:uid="{4FB3B335-552A-4590-8C1B-6BDC84F3D9C6}"/>
    <hyperlink ref="B16" r:id="rId14" xr:uid="{F1F68052-961A-4C85-98DD-67743D7B446C}"/>
    <hyperlink ref="B17" r:id="rId15" xr:uid="{15008F0F-7F60-48C5-8301-126974A3D13F}"/>
    <hyperlink ref="B18" r:id="rId16" xr:uid="{7EE755C7-CECA-4251-ACD5-2B1CF480732A}"/>
    <hyperlink ref="B19" r:id="rId17" xr:uid="{4C59249C-1238-4939-94CA-E3CE9DF72B90}"/>
    <hyperlink ref="B20" r:id="rId18" xr:uid="{F866371D-02BE-4AA2-9CD3-C6E2B7942F63}"/>
    <hyperlink ref="B21" r:id="rId19" xr:uid="{CD6792C1-E592-4A9D-9F25-B63AB772AA2F}"/>
    <hyperlink ref="B22" r:id="rId20" xr:uid="{4E8FA3BE-66F6-490A-A205-BF882D0098EE}"/>
    <hyperlink ref="B23" r:id="rId21" xr:uid="{6BFD4208-E001-4A7C-92CB-23DAF5D4E82F}"/>
    <hyperlink ref="B24" r:id="rId22" xr:uid="{51B73C7C-5A2C-4EF2-9B71-6BBBB9603467}"/>
    <hyperlink ref="B25" r:id="rId23" xr:uid="{86347203-FAFB-43BE-AEA7-54CC24D8A829}"/>
    <hyperlink ref="B26" r:id="rId24" xr:uid="{EE019799-5B1F-4601-B25A-915AA069A6F0}"/>
    <hyperlink ref="B27" r:id="rId25" xr:uid="{05105CBB-7E26-4E01-AC80-C62EB5985F63}"/>
    <hyperlink ref="B28" r:id="rId26" xr:uid="{934D1188-DC90-4984-9EF9-6564EBA22B3E}"/>
    <hyperlink ref="B29" r:id="rId27" xr:uid="{2DC83688-4FEB-48AB-804E-234000639C94}"/>
    <hyperlink ref="B30" r:id="rId28" xr:uid="{CFAB1864-99C8-4484-9D9B-66BFF2E02EFA}"/>
    <hyperlink ref="B31" r:id="rId29" xr:uid="{0C7DB4A1-6166-464C-9ED8-5231C4629128}"/>
    <hyperlink ref="B32" r:id="rId30" xr:uid="{D030B8F6-0423-4038-90EC-D24315178CAE}"/>
    <hyperlink ref="B33" r:id="rId31" xr:uid="{5927F97F-6E39-4D92-9BE7-C11D76B87B69}"/>
    <hyperlink ref="B34" r:id="rId32" xr:uid="{5814598C-4030-484A-938D-1B979510B910}"/>
    <hyperlink ref="B35" r:id="rId33" xr:uid="{DA7C1300-7D77-4AEE-8366-3D8C347BEB6B}"/>
    <hyperlink ref="B36" r:id="rId34" xr:uid="{35821CB3-A2E2-4210-BAA7-1E8DCBF4D29C}"/>
    <hyperlink ref="B37" r:id="rId35" xr:uid="{4652CE67-9EF6-4817-BBF1-C72716BBE848}"/>
    <hyperlink ref="B38" r:id="rId36" xr:uid="{2665498D-C245-44D9-852B-6B4D852BD6C4}"/>
    <hyperlink ref="B39" r:id="rId37" xr:uid="{83126C42-D28A-461F-AAAF-2CF78623DE6E}"/>
    <hyperlink ref="B40" r:id="rId38" xr:uid="{4FE87822-1138-48C5-BBDE-E3FC31EB22D6}"/>
    <hyperlink ref="B41" r:id="rId39" xr:uid="{10F00F29-C0ED-4677-BEED-EE4E5AC0C494}"/>
    <hyperlink ref="B42" r:id="rId40" xr:uid="{0B63A370-1ABE-4BEA-AFA7-33C2B91D120E}"/>
    <hyperlink ref="B43" r:id="rId41" xr:uid="{F11B99F3-B855-4061-8C06-6F864DB0821A}"/>
    <hyperlink ref="B44" r:id="rId42" xr:uid="{2A907711-8BB1-4F8C-8C66-5C24CDF6403F}"/>
    <hyperlink ref="B45" r:id="rId43" xr:uid="{1C8A547F-FA7C-464C-BDB6-55FBD3BDB993}"/>
    <hyperlink ref="B46" r:id="rId44" xr:uid="{52C48AD4-E26C-4BDF-81E4-05E4D4B64A7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4D5-7285-4967-950A-39386C9716A0}">
  <dimension ref="A1:F133"/>
  <sheetViews>
    <sheetView zoomScale="53" workbookViewId="0">
      <selection activeCell="D7" sqref="D7"/>
    </sheetView>
  </sheetViews>
  <sheetFormatPr defaultRowHeight="14.5" x14ac:dyDescent="0.35"/>
  <cols>
    <col min="1" max="1" width="10.26953125" customWidth="1"/>
    <col min="2" max="2" width="9.08984375" bestFit="1" customWidth="1"/>
  </cols>
  <sheetData>
    <row r="1" spans="1:6" x14ac:dyDescent="0.35">
      <c r="A1" s="2" t="s">
        <v>142</v>
      </c>
      <c r="B1" s="2" t="s">
        <v>143</v>
      </c>
      <c r="C1" s="2" t="s">
        <v>144</v>
      </c>
      <c r="D1" s="2" t="s">
        <v>145</v>
      </c>
      <c r="E1" s="2" t="s">
        <v>146</v>
      </c>
      <c r="F1" s="2" t="s">
        <v>147</v>
      </c>
    </row>
    <row r="2" spans="1:6" x14ac:dyDescent="0.35">
      <c r="A2" s="1">
        <v>1</v>
      </c>
      <c r="B2" s="1" t="s">
        <v>60</v>
      </c>
      <c r="C2" s="1">
        <v>3.6</v>
      </c>
      <c r="D2" s="1">
        <v>93.33</v>
      </c>
      <c r="E2" s="1">
        <v>45</v>
      </c>
      <c r="F2" s="1">
        <v>21.67</v>
      </c>
    </row>
    <row r="3" spans="1:6" x14ac:dyDescent="0.35">
      <c r="A3" s="1">
        <v>1</v>
      </c>
      <c r="B3" s="1" t="s">
        <v>148</v>
      </c>
      <c r="C3" s="1">
        <v>3.6</v>
      </c>
      <c r="D3" s="1">
        <v>86.67</v>
      </c>
      <c r="E3" s="1">
        <v>47.5</v>
      </c>
      <c r="F3" s="1">
        <v>40</v>
      </c>
    </row>
    <row r="4" spans="1:6" x14ac:dyDescent="0.35">
      <c r="A4" s="1">
        <v>1</v>
      </c>
      <c r="B4" s="1" t="s">
        <v>74</v>
      </c>
      <c r="C4" s="1">
        <v>3.4</v>
      </c>
      <c r="D4" s="1">
        <v>86.67</v>
      </c>
      <c r="E4" s="1">
        <v>47.5</v>
      </c>
      <c r="F4" s="1">
        <v>24.17</v>
      </c>
    </row>
    <row r="5" spans="1:6" x14ac:dyDescent="0.35">
      <c r="A5" s="1">
        <v>2</v>
      </c>
      <c r="B5" s="1" t="s">
        <v>60</v>
      </c>
      <c r="C5" s="1">
        <v>3.47</v>
      </c>
      <c r="D5" s="1">
        <v>86.67</v>
      </c>
      <c r="E5" s="1">
        <v>22.5</v>
      </c>
      <c r="F5" s="1">
        <v>19.170000000000002</v>
      </c>
    </row>
    <row r="6" spans="1:6" x14ac:dyDescent="0.35">
      <c r="A6" s="1">
        <v>2</v>
      </c>
      <c r="B6" s="1" t="s">
        <v>148</v>
      </c>
      <c r="C6" s="1">
        <v>3.47</v>
      </c>
      <c r="D6" s="1">
        <v>100</v>
      </c>
      <c r="E6" s="1">
        <v>40</v>
      </c>
      <c r="F6" s="1">
        <v>24.17</v>
      </c>
    </row>
    <row r="7" spans="1:6" x14ac:dyDescent="0.35">
      <c r="A7" s="1">
        <v>2</v>
      </c>
      <c r="B7" s="1" t="s">
        <v>74</v>
      </c>
      <c r="C7" s="1">
        <v>3.2</v>
      </c>
      <c r="D7" s="1">
        <v>93.33</v>
      </c>
      <c r="E7" s="1">
        <v>47.5</v>
      </c>
      <c r="F7" s="1">
        <v>36.67</v>
      </c>
    </row>
    <row r="8" spans="1:6" x14ac:dyDescent="0.35">
      <c r="A8" s="1">
        <v>3</v>
      </c>
      <c r="B8" s="1" t="s">
        <v>60</v>
      </c>
      <c r="C8" s="1">
        <v>3.53</v>
      </c>
      <c r="D8" s="1">
        <v>100</v>
      </c>
      <c r="E8" s="1">
        <v>40</v>
      </c>
      <c r="F8" s="1">
        <v>37.5</v>
      </c>
    </row>
    <row r="9" spans="1:6" x14ac:dyDescent="0.35">
      <c r="A9" s="1">
        <v>3</v>
      </c>
      <c r="B9" s="1" t="s">
        <v>148</v>
      </c>
      <c r="C9" s="1">
        <v>3.6</v>
      </c>
      <c r="D9" s="1">
        <v>100</v>
      </c>
      <c r="E9" s="1">
        <v>42.5</v>
      </c>
      <c r="F9" s="1">
        <v>36.67</v>
      </c>
    </row>
    <row r="10" spans="1:6" x14ac:dyDescent="0.35">
      <c r="A10" s="1">
        <v>3</v>
      </c>
      <c r="B10" s="1" t="s">
        <v>74</v>
      </c>
      <c r="C10" s="1">
        <v>3.47</v>
      </c>
      <c r="D10" s="1">
        <v>93.33</v>
      </c>
      <c r="E10" s="1">
        <v>75</v>
      </c>
      <c r="F10" s="1">
        <v>24.17</v>
      </c>
    </row>
    <row r="11" spans="1:6" x14ac:dyDescent="0.35">
      <c r="A11" s="1">
        <v>4</v>
      </c>
      <c r="B11" s="1" t="s">
        <v>60</v>
      </c>
      <c r="C11" s="1">
        <v>3.13</v>
      </c>
      <c r="D11" s="1">
        <v>93.33</v>
      </c>
      <c r="E11" s="1">
        <v>50</v>
      </c>
      <c r="F11" s="1">
        <v>25</v>
      </c>
    </row>
    <row r="12" spans="1:6" x14ac:dyDescent="0.35">
      <c r="A12" s="1">
        <v>4</v>
      </c>
      <c r="B12" s="1" t="s">
        <v>148</v>
      </c>
      <c r="C12" s="1">
        <v>3.6</v>
      </c>
      <c r="D12" s="1">
        <v>86.67</v>
      </c>
      <c r="E12" s="1">
        <v>70</v>
      </c>
      <c r="F12" s="1">
        <v>24.17</v>
      </c>
    </row>
    <row r="13" spans="1:6" x14ac:dyDescent="0.35">
      <c r="A13" s="1">
        <v>4</v>
      </c>
      <c r="B13" s="1" t="s">
        <v>74</v>
      </c>
      <c r="C13" s="1">
        <v>3.73</v>
      </c>
      <c r="D13" s="1">
        <v>93.33</v>
      </c>
      <c r="E13" s="1">
        <v>67.5</v>
      </c>
      <c r="F13" s="1">
        <v>12.5</v>
      </c>
    </row>
    <row r="14" spans="1:6" x14ac:dyDescent="0.35">
      <c r="A14" s="1">
        <v>5</v>
      </c>
      <c r="B14" s="1" t="s">
        <v>60</v>
      </c>
      <c r="C14" s="1">
        <v>3.2</v>
      </c>
      <c r="D14" s="1">
        <v>66.67</v>
      </c>
      <c r="E14" s="1">
        <v>50</v>
      </c>
      <c r="F14" s="1">
        <v>54.17</v>
      </c>
    </row>
    <row r="15" spans="1:6" x14ac:dyDescent="0.35">
      <c r="A15" s="1">
        <v>5</v>
      </c>
      <c r="B15" s="1" t="s">
        <v>148</v>
      </c>
      <c r="C15" s="1">
        <v>3.67</v>
      </c>
      <c r="D15" s="1">
        <v>86.67</v>
      </c>
      <c r="E15" s="1">
        <v>50</v>
      </c>
      <c r="F15" s="1">
        <v>40.83</v>
      </c>
    </row>
    <row r="16" spans="1:6" x14ac:dyDescent="0.35">
      <c r="A16" s="1">
        <v>5</v>
      </c>
      <c r="B16" s="1" t="s">
        <v>74</v>
      </c>
      <c r="C16" s="1">
        <v>4.13</v>
      </c>
      <c r="D16" s="1">
        <v>93.33</v>
      </c>
      <c r="E16" s="1">
        <v>40</v>
      </c>
      <c r="F16" s="1">
        <v>39.17</v>
      </c>
    </row>
    <row r="17" spans="1:6" x14ac:dyDescent="0.35">
      <c r="A17" s="1">
        <v>6</v>
      </c>
      <c r="B17" s="1" t="s">
        <v>60</v>
      </c>
      <c r="C17" s="1">
        <v>3</v>
      </c>
      <c r="D17" s="1">
        <v>86.67</v>
      </c>
      <c r="E17" s="1">
        <v>50</v>
      </c>
      <c r="F17" s="1">
        <v>15.83</v>
      </c>
    </row>
    <row r="18" spans="1:6" x14ac:dyDescent="0.35">
      <c r="A18" s="1">
        <v>6</v>
      </c>
      <c r="B18" s="1" t="s">
        <v>148</v>
      </c>
      <c r="C18" s="1">
        <v>3.13</v>
      </c>
      <c r="D18" s="1">
        <v>100</v>
      </c>
      <c r="E18" s="1">
        <v>50</v>
      </c>
      <c r="F18" s="1">
        <v>15</v>
      </c>
    </row>
    <row r="19" spans="1:6" x14ac:dyDescent="0.35">
      <c r="A19" s="1">
        <v>6</v>
      </c>
      <c r="B19" s="1" t="s">
        <v>74</v>
      </c>
      <c r="C19" s="1">
        <v>3.2</v>
      </c>
      <c r="D19" s="1">
        <v>86.67</v>
      </c>
      <c r="E19" s="1">
        <v>50</v>
      </c>
      <c r="F19" s="1">
        <v>15.83</v>
      </c>
    </row>
    <row r="20" spans="1:6" x14ac:dyDescent="0.35">
      <c r="A20" s="1">
        <v>7</v>
      </c>
      <c r="B20" s="1" t="s">
        <v>60</v>
      </c>
      <c r="C20" s="1">
        <v>3.73</v>
      </c>
      <c r="D20" s="1">
        <v>93.33</v>
      </c>
      <c r="E20" s="1">
        <v>52.5</v>
      </c>
      <c r="F20" s="1">
        <v>20.83</v>
      </c>
    </row>
    <row r="21" spans="1:6" x14ac:dyDescent="0.35">
      <c r="A21" s="1">
        <v>7</v>
      </c>
      <c r="B21" s="1" t="s">
        <v>148</v>
      </c>
      <c r="C21" s="1">
        <v>3.13</v>
      </c>
      <c r="D21" s="1">
        <v>100</v>
      </c>
      <c r="E21" s="1">
        <v>45</v>
      </c>
      <c r="F21" s="1">
        <v>15</v>
      </c>
    </row>
    <row r="22" spans="1:6" x14ac:dyDescent="0.35">
      <c r="A22" s="1">
        <v>7</v>
      </c>
      <c r="B22" s="1" t="s">
        <v>74</v>
      </c>
      <c r="C22" s="1">
        <v>3.07</v>
      </c>
      <c r="D22" s="1">
        <v>86.67</v>
      </c>
      <c r="E22" s="1">
        <v>42.5</v>
      </c>
      <c r="F22" s="1">
        <v>15.83</v>
      </c>
    </row>
    <row r="23" spans="1:6" x14ac:dyDescent="0.35">
      <c r="A23" s="1">
        <v>8</v>
      </c>
      <c r="B23" s="1" t="s">
        <v>60</v>
      </c>
      <c r="C23" s="1">
        <v>4.07</v>
      </c>
      <c r="D23" s="1">
        <v>86.67</v>
      </c>
      <c r="E23" s="1">
        <v>45</v>
      </c>
      <c r="F23" s="1">
        <v>24.17</v>
      </c>
    </row>
    <row r="24" spans="1:6" x14ac:dyDescent="0.35">
      <c r="A24" s="1">
        <v>8</v>
      </c>
      <c r="B24" s="1" t="s">
        <v>148</v>
      </c>
      <c r="C24" s="1">
        <v>3.13</v>
      </c>
      <c r="D24" s="1">
        <v>73.33</v>
      </c>
      <c r="E24" s="1">
        <v>47.5</v>
      </c>
      <c r="F24" s="1">
        <v>12.5</v>
      </c>
    </row>
    <row r="25" spans="1:6" x14ac:dyDescent="0.35">
      <c r="A25" s="1">
        <v>8</v>
      </c>
      <c r="B25" s="1" t="s">
        <v>74</v>
      </c>
      <c r="C25" s="1">
        <v>3.27</v>
      </c>
      <c r="D25" s="1">
        <v>93.33</v>
      </c>
      <c r="E25" s="1">
        <v>45</v>
      </c>
      <c r="F25" s="1">
        <v>12.5</v>
      </c>
    </row>
    <row r="26" spans="1:6" x14ac:dyDescent="0.35">
      <c r="A26" s="1">
        <v>9</v>
      </c>
      <c r="B26" s="1" t="s">
        <v>60</v>
      </c>
      <c r="C26" s="1">
        <v>2.93</v>
      </c>
      <c r="D26" s="1">
        <v>86.67</v>
      </c>
      <c r="E26" s="1">
        <v>65</v>
      </c>
      <c r="F26" s="1">
        <v>43.33</v>
      </c>
    </row>
    <row r="27" spans="1:6" x14ac:dyDescent="0.35">
      <c r="A27" s="1">
        <v>9</v>
      </c>
      <c r="B27" s="1" t="s">
        <v>148</v>
      </c>
      <c r="C27" s="1">
        <v>3.33</v>
      </c>
      <c r="D27" s="1">
        <v>93.33</v>
      </c>
      <c r="E27" s="1">
        <v>57.5</v>
      </c>
      <c r="F27" s="1">
        <v>34.17</v>
      </c>
    </row>
    <row r="28" spans="1:6" x14ac:dyDescent="0.35">
      <c r="A28" s="1">
        <v>9</v>
      </c>
      <c r="B28" s="1" t="s">
        <v>74</v>
      </c>
      <c r="C28" s="1">
        <v>4.2699999999999996</v>
      </c>
      <c r="D28" s="1">
        <v>86.67</v>
      </c>
      <c r="E28" s="1">
        <v>60</v>
      </c>
      <c r="F28" s="1">
        <v>50</v>
      </c>
    </row>
    <row r="29" spans="1:6" x14ac:dyDescent="0.35">
      <c r="A29" s="1">
        <v>10</v>
      </c>
      <c r="B29" s="1" t="s">
        <v>60</v>
      </c>
      <c r="C29" s="1">
        <v>3.07</v>
      </c>
      <c r="D29" s="1">
        <v>80</v>
      </c>
      <c r="E29" s="1">
        <v>57.5</v>
      </c>
      <c r="F29" s="1">
        <v>30</v>
      </c>
    </row>
    <row r="30" spans="1:6" x14ac:dyDescent="0.35">
      <c r="A30" s="1">
        <v>10</v>
      </c>
      <c r="B30" s="1" t="s">
        <v>148</v>
      </c>
      <c r="C30" s="1">
        <v>3.47</v>
      </c>
      <c r="D30" s="1">
        <v>86.67</v>
      </c>
      <c r="E30" s="1">
        <v>42.5</v>
      </c>
      <c r="F30" s="1">
        <v>33.33</v>
      </c>
    </row>
    <row r="31" spans="1:6" x14ac:dyDescent="0.35">
      <c r="A31" s="1">
        <v>10</v>
      </c>
      <c r="B31" s="1" t="s">
        <v>74</v>
      </c>
      <c r="C31" s="1">
        <v>3.4</v>
      </c>
      <c r="D31" s="1">
        <v>73.33</v>
      </c>
      <c r="E31" s="1">
        <v>50</v>
      </c>
      <c r="F31" s="1">
        <v>30</v>
      </c>
    </row>
    <row r="32" spans="1:6" x14ac:dyDescent="0.35">
      <c r="A32" s="1">
        <v>11</v>
      </c>
      <c r="B32" s="1" t="s">
        <v>60</v>
      </c>
      <c r="C32" s="1">
        <v>2.93</v>
      </c>
      <c r="D32" s="1">
        <v>80</v>
      </c>
      <c r="E32" s="1">
        <v>55</v>
      </c>
      <c r="F32" s="1">
        <v>23.33</v>
      </c>
    </row>
    <row r="33" spans="1:6" x14ac:dyDescent="0.35">
      <c r="A33" s="1">
        <v>11</v>
      </c>
      <c r="B33" s="1" t="s">
        <v>148</v>
      </c>
      <c r="C33" s="1">
        <v>3</v>
      </c>
      <c r="D33" s="1">
        <v>93.33</v>
      </c>
      <c r="E33" s="1">
        <v>57.5</v>
      </c>
      <c r="F33" s="1">
        <v>20</v>
      </c>
    </row>
    <row r="34" spans="1:6" x14ac:dyDescent="0.35">
      <c r="A34" s="1">
        <v>11</v>
      </c>
      <c r="B34" s="1" t="s">
        <v>74</v>
      </c>
      <c r="C34" s="1">
        <v>3.67</v>
      </c>
      <c r="D34" s="1">
        <v>80</v>
      </c>
      <c r="E34" s="1">
        <v>60</v>
      </c>
      <c r="F34" s="1">
        <v>33.33</v>
      </c>
    </row>
    <row r="35" spans="1:6" x14ac:dyDescent="0.35">
      <c r="A35" s="1">
        <v>12</v>
      </c>
      <c r="B35" s="1" t="s">
        <v>60</v>
      </c>
      <c r="C35" s="1">
        <v>3.13</v>
      </c>
      <c r="D35" s="1">
        <v>86.67</v>
      </c>
      <c r="E35" s="1">
        <v>40</v>
      </c>
      <c r="F35" s="1">
        <v>18.329999999999998</v>
      </c>
    </row>
    <row r="36" spans="1:6" x14ac:dyDescent="0.35">
      <c r="A36" s="1">
        <v>12</v>
      </c>
      <c r="B36" s="1" t="s">
        <v>148</v>
      </c>
      <c r="C36" s="1">
        <v>3.6</v>
      </c>
      <c r="D36" s="1">
        <v>93.33</v>
      </c>
      <c r="E36" s="1">
        <v>47.5</v>
      </c>
      <c r="F36" s="1">
        <v>28.33</v>
      </c>
    </row>
    <row r="37" spans="1:6" x14ac:dyDescent="0.35">
      <c r="A37" s="1">
        <v>12</v>
      </c>
      <c r="B37" s="1" t="s">
        <v>74</v>
      </c>
      <c r="C37" s="1">
        <v>3.47</v>
      </c>
      <c r="D37" s="1">
        <v>93.33</v>
      </c>
      <c r="E37" s="1">
        <v>57.5</v>
      </c>
      <c r="F37" s="1">
        <v>21.67</v>
      </c>
    </row>
    <row r="38" spans="1:6" x14ac:dyDescent="0.35">
      <c r="A38" s="1">
        <v>13</v>
      </c>
      <c r="B38" s="1" t="s">
        <v>60</v>
      </c>
      <c r="C38" s="1">
        <v>3.53</v>
      </c>
      <c r="D38" s="1">
        <v>93.33</v>
      </c>
      <c r="E38" s="1">
        <v>50</v>
      </c>
      <c r="F38" s="1">
        <v>54.17</v>
      </c>
    </row>
    <row r="39" spans="1:6" x14ac:dyDescent="0.35">
      <c r="A39" s="1">
        <v>13</v>
      </c>
      <c r="B39" s="1" t="s">
        <v>148</v>
      </c>
      <c r="C39" s="1">
        <v>2.67</v>
      </c>
      <c r="D39" s="1">
        <v>80</v>
      </c>
      <c r="E39" s="1">
        <v>37.5</v>
      </c>
      <c r="F39" s="1">
        <v>35.83</v>
      </c>
    </row>
    <row r="40" spans="1:6" x14ac:dyDescent="0.35">
      <c r="A40" s="1">
        <v>13</v>
      </c>
      <c r="B40" s="1" t="s">
        <v>74</v>
      </c>
      <c r="C40" s="1">
        <v>3.27</v>
      </c>
      <c r="D40" s="1">
        <v>86.67</v>
      </c>
      <c r="E40" s="1">
        <v>42.5</v>
      </c>
      <c r="F40" s="1">
        <v>27.5</v>
      </c>
    </row>
    <row r="41" spans="1:6" x14ac:dyDescent="0.35">
      <c r="A41" s="1">
        <v>14</v>
      </c>
      <c r="B41" s="1" t="s">
        <v>60</v>
      </c>
      <c r="C41" s="1">
        <v>3.13</v>
      </c>
      <c r="D41" s="1">
        <v>80</v>
      </c>
      <c r="E41" s="1">
        <v>62.5</v>
      </c>
      <c r="F41" s="1">
        <v>15</v>
      </c>
    </row>
    <row r="42" spans="1:6" x14ac:dyDescent="0.35">
      <c r="A42" s="1">
        <v>14</v>
      </c>
      <c r="B42" s="1" t="s">
        <v>148</v>
      </c>
      <c r="C42" s="1">
        <v>3.53</v>
      </c>
      <c r="D42" s="1">
        <v>80</v>
      </c>
      <c r="E42" s="1">
        <v>57.5</v>
      </c>
      <c r="F42" s="1">
        <v>24.17</v>
      </c>
    </row>
    <row r="43" spans="1:6" x14ac:dyDescent="0.35">
      <c r="A43" s="1">
        <v>14</v>
      </c>
      <c r="B43" s="1" t="s">
        <v>74</v>
      </c>
      <c r="C43" s="1">
        <v>3.47</v>
      </c>
      <c r="D43" s="1">
        <v>86.67</v>
      </c>
      <c r="E43" s="1">
        <v>52.5</v>
      </c>
      <c r="F43" s="1">
        <v>15</v>
      </c>
    </row>
    <row r="44" spans="1:6" x14ac:dyDescent="0.35">
      <c r="A44" s="1">
        <v>15</v>
      </c>
      <c r="B44" s="1" t="s">
        <v>60</v>
      </c>
      <c r="C44" s="1">
        <v>3.2</v>
      </c>
      <c r="D44" s="1">
        <v>93.33</v>
      </c>
      <c r="E44" s="1">
        <v>37.5</v>
      </c>
      <c r="F44" s="1">
        <v>42.5</v>
      </c>
    </row>
    <row r="45" spans="1:6" x14ac:dyDescent="0.35">
      <c r="A45" s="1">
        <v>15</v>
      </c>
      <c r="B45" s="1" t="s">
        <v>148</v>
      </c>
      <c r="C45" s="1">
        <v>3.13</v>
      </c>
      <c r="D45" s="1">
        <v>100</v>
      </c>
      <c r="E45" s="1">
        <v>60</v>
      </c>
      <c r="F45" s="1">
        <v>40</v>
      </c>
    </row>
    <row r="46" spans="1:6" x14ac:dyDescent="0.35">
      <c r="A46" s="1">
        <v>15</v>
      </c>
      <c r="B46" s="1" t="s">
        <v>74</v>
      </c>
      <c r="C46" s="1">
        <v>3.4</v>
      </c>
      <c r="D46" s="1">
        <v>100</v>
      </c>
      <c r="E46" s="1">
        <v>45</v>
      </c>
      <c r="F46" s="1">
        <v>30</v>
      </c>
    </row>
    <row r="47" spans="1:6" x14ac:dyDescent="0.35">
      <c r="A47" s="1">
        <v>16</v>
      </c>
      <c r="B47" s="1" t="s">
        <v>60</v>
      </c>
      <c r="C47" s="1">
        <v>3.8</v>
      </c>
      <c r="D47" s="1">
        <v>73.33</v>
      </c>
      <c r="E47" s="1">
        <v>55</v>
      </c>
      <c r="F47" s="1">
        <v>36.67</v>
      </c>
    </row>
    <row r="48" spans="1:6" x14ac:dyDescent="0.35">
      <c r="A48" s="1">
        <v>16</v>
      </c>
      <c r="B48" s="1" t="s">
        <v>148</v>
      </c>
      <c r="C48" s="1">
        <v>3.4</v>
      </c>
      <c r="D48" s="1">
        <v>86.67</v>
      </c>
      <c r="E48" s="1">
        <v>42.5</v>
      </c>
      <c r="F48" s="1">
        <v>44.17</v>
      </c>
    </row>
    <row r="49" spans="1:6" x14ac:dyDescent="0.35">
      <c r="A49" s="1">
        <v>16</v>
      </c>
      <c r="B49" s="1" t="s">
        <v>74</v>
      </c>
      <c r="C49" s="1">
        <v>3.27</v>
      </c>
      <c r="D49" s="1">
        <v>93.33</v>
      </c>
      <c r="E49" s="1">
        <v>42.5</v>
      </c>
      <c r="F49" s="1">
        <v>21.67</v>
      </c>
    </row>
    <row r="50" spans="1:6" x14ac:dyDescent="0.35">
      <c r="A50" s="1">
        <v>17</v>
      </c>
      <c r="B50" s="1" t="s">
        <v>60</v>
      </c>
      <c r="C50" s="1">
        <v>3.47</v>
      </c>
      <c r="D50" s="1">
        <v>80</v>
      </c>
      <c r="E50" s="1">
        <v>45</v>
      </c>
      <c r="F50" s="1">
        <v>28.33</v>
      </c>
    </row>
    <row r="51" spans="1:6" x14ac:dyDescent="0.35">
      <c r="A51" s="1">
        <v>17</v>
      </c>
      <c r="B51" s="1" t="s">
        <v>148</v>
      </c>
      <c r="C51" s="1">
        <v>3.73</v>
      </c>
      <c r="D51" s="1">
        <v>93.33</v>
      </c>
      <c r="E51" s="1">
        <v>30</v>
      </c>
      <c r="F51" s="1">
        <v>27.5</v>
      </c>
    </row>
    <row r="52" spans="1:6" x14ac:dyDescent="0.35">
      <c r="A52" s="1">
        <v>17</v>
      </c>
      <c r="B52" s="1" t="s">
        <v>74</v>
      </c>
      <c r="C52" s="1">
        <v>3.07</v>
      </c>
      <c r="D52" s="1">
        <v>93.33</v>
      </c>
      <c r="E52" s="1">
        <v>55</v>
      </c>
      <c r="F52" s="1">
        <v>24.17</v>
      </c>
    </row>
    <row r="53" spans="1:6" x14ac:dyDescent="0.35">
      <c r="A53" s="1">
        <v>18</v>
      </c>
      <c r="B53" s="1" t="s">
        <v>60</v>
      </c>
      <c r="C53" s="1">
        <v>3.4</v>
      </c>
      <c r="D53" s="1">
        <v>73.33</v>
      </c>
      <c r="E53" s="1">
        <v>45</v>
      </c>
      <c r="F53" s="1">
        <v>20.83</v>
      </c>
    </row>
    <row r="54" spans="1:6" x14ac:dyDescent="0.35">
      <c r="A54" s="1">
        <v>18</v>
      </c>
      <c r="B54" s="1" t="s">
        <v>148</v>
      </c>
      <c r="C54" s="1">
        <v>3</v>
      </c>
      <c r="D54" s="1">
        <v>100</v>
      </c>
      <c r="E54" s="1">
        <v>47.5</v>
      </c>
      <c r="F54" s="1">
        <v>30.83</v>
      </c>
    </row>
    <row r="55" spans="1:6" x14ac:dyDescent="0.35">
      <c r="A55" s="1">
        <v>18</v>
      </c>
      <c r="B55" s="1" t="s">
        <v>74</v>
      </c>
      <c r="C55" s="1">
        <v>4</v>
      </c>
      <c r="D55" s="1">
        <v>73.33</v>
      </c>
      <c r="E55" s="1">
        <v>50</v>
      </c>
      <c r="F55" s="1">
        <v>46.67</v>
      </c>
    </row>
    <row r="56" spans="1:6" x14ac:dyDescent="0.35">
      <c r="A56" s="1">
        <v>19</v>
      </c>
      <c r="B56" s="1" t="s">
        <v>60</v>
      </c>
      <c r="C56" s="1">
        <v>3.47</v>
      </c>
      <c r="D56" s="1">
        <v>93.33</v>
      </c>
      <c r="E56" s="1">
        <v>65</v>
      </c>
      <c r="F56" s="1">
        <v>24.17</v>
      </c>
    </row>
    <row r="57" spans="1:6" x14ac:dyDescent="0.35">
      <c r="A57" s="1">
        <v>19</v>
      </c>
      <c r="B57" s="1" t="s">
        <v>148</v>
      </c>
      <c r="C57" s="1">
        <v>4</v>
      </c>
      <c r="D57" s="1">
        <v>80</v>
      </c>
      <c r="E57" s="1">
        <v>35</v>
      </c>
      <c r="F57" s="1">
        <v>36.67</v>
      </c>
    </row>
    <row r="58" spans="1:6" x14ac:dyDescent="0.35">
      <c r="A58" s="1">
        <v>19</v>
      </c>
      <c r="B58" s="1" t="s">
        <v>74</v>
      </c>
      <c r="C58" s="1">
        <v>3.6</v>
      </c>
      <c r="D58" s="1">
        <v>93.33</v>
      </c>
      <c r="E58" s="1">
        <v>37.5</v>
      </c>
      <c r="F58" s="1">
        <v>32.5</v>
      </c>
    </row>
    <row r="59" spans="1:6" x14ac:dyDescent="0.35">
      <c r="A59" s="1">
        <v>20</v>
      </c>
      <c r="B59" s="1" t="s">
        <v>60</v>
      </c>
      <c r="C59" s="1">
        <v>3.47</v>
      </c>
      <c r="D59" s="1">
        <v>86.67</v>
      </c>
      <c r="E59" s="1">
        <v>45</v>
      </c>
      <c r="F59" s="1">
        <v>24.17</v>
      </c>
    </row>
    <row r="60" spans="1:6" x14ac:dyDescent="0.35">
      <c r="A60" s="1">
        <v>20</v>
      </c>
      <c r="B60" s="1" t="s">
        <v>148</v>
      </c>
      <c r="C60" s="1">
        <v>2.93</v>
      </c>
      <c r="D60" s="1">
        <v>93.33</v>
      </c>
      <c r="E60" s="1">
        <v>47.5</v>
      </c>
      <c r="F60" s="1">
        <v>15</v>
      </c>
    </row>
    <row r="61" spans="1:6" x14ac:dyDescent="0.35">
      <c r="A61" s="1">
        <v>20</v>
      </c>
      <c r="B61" s="1" t="s">
        <v>74</v>
      </c>
      <c r="C61" s="1">
        <v>2.8</v>
      </c>
      <c r="D61" s="1">
        <v>80</v>
      </c>
      <c r="E61" s="1">
        <v>45</v>
      </c>
      <c r="F61" s="1">
        <v>26.67</v>
      </c>
    </row>
    <row r="62" spans="1:6" x14ac:dyDescent="0.35">
      <c r="A62" s="1">
        <v>21</v>
      </c>
      <c r="B62" s="1" t="s">
        <v>60</v>
      </c>
      <c r="C62" s="1">
        <v>3.13</v>
      </c>
      <c r="D62" s="1">
        <v>86.67</v>
      </c>
      <c r="E62" s="1">
        <v>50</v>
      </c>
      <c r="F62" s="1">
        <v>43.33</v>
      </c>
    </row>
    <row r="63" spans="1:6" x14ac:dyDescent="0.35">
      <c r="A63" s="1">
        <v>21</v>
      </c>
      <c r="B63" s="1" t="s">
        <v>148</v>
      </c>
      <c r="C63" s="1">
        <v>3.47</v>
      </c>
      <c r="D63" s="1">
        <v>86.67</v>
      </c>
      <c r="E63" s="1">
        <v>55</v>
      </c>
      <c r="F63" s="1">
        <v>33.33</v>
      </c>
    </row>
    <row r="64" spans="1:6" x14ac:dyDescent="0.35">
      <c r="A64" s="1">
        <v>21</v>
      </c>
      <c r="B64" s="1" t="s">
        <v>74</v>
      </c>
      <c r="C64" s="1">
        <v>3.67</v>
      </c>
      <c r="D64" s="1">
        <v>86.67</v>
      </c>
      <c r="E64" s="1">
        <v>42.5</v>
      </c>
      <c r="F64" s="1">
        <v>23.33</v>
      </c>
    </row>
    <row r="65" spans="1:6" x14ac:dyDescent="0.35">
      <c r="A65" s="1">
        <v>22</v>
      </c>
      <c r="B65" s="1" t="s">
        <v>60</v>
      </c>
      <c r="C65" s="1">
        <v>2.4700000000000002</v>
      </c>
      <c r="D65" s="1">
        <v>80</v>
      </c>
      <c r="E65" s="1">
        <v>37.5</v>
      </c>
      <c r="F65" s="1">
        <v>30.83</v>
      </c>
    </row>
    <row r="66" spans="1:6" x14ac:dyDescent="0.35">
      <c r="A66" s="1">
        <v>22</v>
      </c>
      <c r="B66" s="1" t="s">
        <v>148</v>
      </c>
      <c r="C66" s="1">
        <v>3.8</v>
      </c>
      <c r="D66" s="1">
        <v>80</v>
      </c>
      <c r="E66" s="1">
        <v>40</v>
      </c>
      <c r="F66" s="1">
        <v>28.33</v>
      </c>
    </row>
    <row r="67" spans="1:6" x14ac:dyDescent="0.35">
      <c r="A67" s="1">
        <v>22</v>
      </c>
      <c r="B67" s="1" t="s">
        <v>74</v>
      </c>
      <c r="C67" s="1">
        <v>3.67</v>
      </c>
      <c r="D67" s="1">
        <v>100</v>
      </c>
      <c r="E67" s="1">
        <v>47.5</v>
      </c>
      <c r="F67" s="1">
        <v>25</v>
      </c>
    </row>
    <row r="68" spans="1:6" x14ac:dyDescent="0.35">
      <c r="A68" s="1">
        <v>23</v>
      </c>
      <c r="B68" s="1" t="s">
        <v>60</v>
      </c>
      <c r="C68" s="1">
        <v>3.13</v>
      </c>
      <c r="D68" s="1">
        <v>93.33</v>
      </c>
      <c r="E68" s="1">
        <v>52.5</v>
      </c>
      <c r="F68" s="1">
        <v>30</v>
      </c>
    </row>
    <row r="69" spans="1:6" x14ac:dyDescent="0.35">
      <c r="A69" s="1">
        <v>23</v>
      </c>
      <c r="B69" s="1" t="s">
        <v>148</v>
      </c>
      <c r="C69" s="1">
        <v>3.4</v>
      </c>
      <c r="D69" s="1">
        <v>93.33</v>
      </c>
      <c r="E69" s="1">
        <v>42.5</v>
      </c>
      <c r="F69" s="1">
        <v>24.17</v>
      </c>
    </row>
    <row r="70" spans="1:6" x14ac:dyDescent="0.35">
      <c r="A70" s="1">
        <v>23</v>
      </c>
      <c r="B70" s="1" t="s">
        <v>74</v>
      </c>
      <c r="C70" s="1">
        <v>3.8</v>
      </c>
      <c r="D70" s="1">
        <v>93.33</v>
      </c>
      <c r="E70" s="1">
        <v>70</v>
      </c>
      <c r="F70" s="1">
        <v>30</v>
      </c>
    </row>
    <row r="71" spans="1:6" x14ac:dyDescent="0.35">
      <c r="A71" s="1">
        <v>24</v>
      </c>
      <c r="B71" s="1" t="s">
        <v>60</v>
      </c>
      <c r="C71" s="1">
        <v>3.47</v>
      </c>
      <c r="D71" s="1">
        <v>80</v>
      </c>
      <c r="E71" s="1">
        <v>37.5</v>
      </c>
      <c r="F71" s="1">
        <v>30.83</v>
      </c>
    </row>
    <row r="72" spans="1:6" x14ac:dyDescent="0.35">
      <c r="A72" s="1">
        <v>24</v>
      </c>
      <c r="B72" s="1" t="s">
        <v>148</v>
      </c>
      <c r="C72" s="1">
        <v>3.07</v>
      </c>
      <c r="D72" s="1">
        <v>86.67</v>
      </c>
      <c r="E72" s="1">
        <v>45</v>
      </c>
      <c r="F72" s="1">
        <v>18.329999999999998</v>
      </c>
    </row>
    <row r="73" spans="1:6" x14ac:dyDescent="0.35">
      <c r="A73" s="1">
        <v>24</v>
      </c>
      <c r="B73" s="1" t="s">
        <v>74</v>
      </c>
      <c r="C73" s="1">
        <v>3.47</v>
      </c>
      <c r="D73" s="1">
        <v>93.33</v>
      </c>
      <c r="E73" s="1">
        <v>52.5</v>
      </c>
      <c r="F73" s="1">
        <v>24.17</v>
      </c>
    </row>
    <row r="74" spans="1:6" x14ac:dyDescent="0.35">
      <c r="A74" s="1">
        <v>25</v>
      </c>
      <c r="B74" s="1" t="s">
        <v>60</v>
      </c>
      <c r="C74" s="1">
        <v>3.8</v>
      </c>
      <c r="D74" s="1">
        <v>86.67</v>
      </c>
      <c r="E74" s="1">
        <v>57.5</v>
      </c>
      <c r="F74" s="1">
        <v>36.67</v>
      </c>
    </row>
    <row r="75" spans="1:6" x14ac:dyDescent="0.35">
      <c r="A75" s="1">
        <v>25</v>
      </c>
      <c r="B75" s="1" t="s">
        <v>148</v>
      </c>
      <c r="C75" s="1">
        <v>3.2</v>
      </c>
      <c r="D75" s="1">
        <v>93.33</v>
      </c>
      <c r="E75" s="1">
        <v>50</v>
      </c>
      <c r="F75" s="1">
        <v>57.5</v>
      </c>
    </row>
    <row r="76" spans="1:6" x14ac:dyDescent="0.35">
      <c r="A76" s="1">
        <v>25</v>
      </c>
      <c r="B76" s="1" t="s">
        <v>74</v>
      </c>
      <c r="C76" s="1">
        <v>3.4</v>
      </c>
      <c r="D76" s="1">
        <v>93.33</v>
      </c>
      <c r="E76" s="1">
        <v>82.5</v>
      </c>
      <c r="F76" s="1">
        <v>36.67</v>
      </c>
    </row>
    <row r="77" spans="1:6" x14ac:dyDescent="0.35">
      <c r="A77" s="1">
        <v>26</v>
      </c>
      <c r="B77" s="1" t="s">
        <v>60</v>
      </c>
      <c r="C77" s="1">
        <v>3.73</v>
      </c>
      <c r="D77" s="1">
        <v>86.67</v>
      </c>
      <c r="E77" s="1">
        <v>67.5</v>
      </c>
      <c r="F77" s="1">
        <v>24.17</v>
      </c>
    </row>
    <row r="78" spans="1:6" x14ac:dyDescent="0.35">
      <c r="A78" s="1">
        <v>26</v>
      </c>
      <c r="B78" s="1" t="s">
        <v>148</v>
      </c>
      <c r="C78" s="1">
        <v>3.4</v>
      </c>
      <c r="D78" s="1">
        <v>93.33</v>
      </c>
      <c r="E78" s="1">
        <v>42.5</v>
      </c>
      <c r="F78" s="1">
        <v>27.5</v>
      </c>
    </row>
    <row r="79" spans="1:6" x14ac:dyDescent="0.35">
      <c r="A79" s="1">
        <v>26</v>
      </c>
      <c r="B79" s="1" t="s">
        <v>74</v>
      </c>
      <c r="C79" s="1">
        <v>2.93</v>
      </c>
      <c r="D79" s="1">
        <v>93.33</v>
      </c>
      <c r="E79" s="1">
        <v>35</v>
      </c>
      <c r="F79" s="1">
        <v>30</v>
      </c>
    </row>
    <row r="80" spans="1:6" x14ac:dyDescent="0.35">
      <c r="A80" s="1">
        <v>27</v>
      </c>
      <c r="B80" s="1" t="s">
        <v>60</v>
      </c>
      <c r="C80" s="1">
        <v>2.4700000000000002</v>
      </c>
      <c r="D80" s="1">
        <v>100</v>
      </c>
      <c r="E80" s="1">
        <v>47.5</v>
      </c>
      <c r="F80" s="1">
        <v>37.5</v>
      </c>
    </row>
    <row r="81" spans="1:6" x14ac:dyDescent="0.35">
      <c r="A81" s="1">
        <v>27</v>
      </c>
      <c r="B81" s="1" t="s">
        <v>148</v>
      </c>
      <c r="C81" s="1">
        <v>3.53</v>
      </c>
      <c r="D81" s="1">
        <v>93.33</v>
      </c>
      <c r="E81" s="1">
        <v>50</v>
      </c>
      <c r="F81" s="1">
        <v>33.33</v>
      </c>
    </row>
    <row r="82" spans="1:6" x14ac:dyDescent="0.35">
      <c r="A82" s="1">
        <v>27</v>
      </c>
      <c r="B82" s="1" t="s">
        <v>74</v>
      </c>
      <c r="C82" s="1">
        <v>3.27</v>
      </c>
      <c r="D82" s="1">
        <v>93.33</v>
      </c>
      <c r="E82" s="1">
        <v>45</v>
      </c>
      <c r="F82" s="1">
        <v>24.17</v>
      </c>
    </row>
    <row r="83" spans="1:6" x14ac:dyDescent="0.35">
      <c r="A83" s="1">
        <v>28</v>
      </c>
      <c r="B83" s="1" t="s">
        <v>60</v>
      </c>
      <c r="C83" s="1">
        <v>3.07</v>
      </c>
      <c r="D83" s="1">
        <v>53.33</v>
      </c>
      <c r="E83" s="1">
        <v>50</v>
      </c>
      <c r="F83" s="1">
        <v>33.33</v>
      </c>
    </row>
    <row r="84" spans="1:6" x14ac:dyDescent="0.35">
      <c r="A84" s="1">
        <v>28</v>
      </c>
      <c r="B84" s="1" t="s">
        <v>148</v>
      </c>
      <c r="C84" s="1">
        <v>3.07</v>
      </c>
      <c r="D84" s="1">
        <v>86.67</v>
      </c>
      <c r="E84" s="1">
        <v>42.5</v>
      </c>
      <c r="F84" s="1">
        <v>26.67</v>
      </c>
    </row>
    <row r="85" spans="1:6" x14ac:dyDescent="0.35">
      <c r="A85" s="1">
        <v>28</v>
      </c>
      <c r="B85" s="1" t="s">
        <v>74</v>
      </c>
      <c r="C85" s="1">
        <v>2.8</v>
      </c>
      <c r="D85" s="1">
        <v>93.33</v>
      </c>
      <c r="E85" s="1">
        <v>57.5</v>
      </c>
      <c r="F85" s="1">
        <v>36.67</v>
      </c>
    </row>
    <row r="86" spans="1:6" x14ac:dyDescent="0.35">
      <c r="A86" s="1">
        <v>29</v>
      </c>
      <c r="B86" s="1" t="s">
        <v>60</v>
      </c>
      <c r="C86" s="1">
        <v>3.53</v>
      </c>
      <c r="D86" s="1">
        <v>93.33</v>
      </c>
      <c r="E86" s="1">
        <v>52.5</v>
      </c>
      <c r="F86" s="1">
        <v>30</v>
      </c>
    </row>
    <row r="87" spans="1:6" x14ac:dyDescent="0.35">
      <c r="A87" s="1">
        <v>29</v>
      </c>
      <c r="B87" s="1" t="s">
        <v>148</v>
      </c>
      <c r="C87" s="1">
        <v>3.33</v>
      </c>
      <c r="D87" s="1">
        <v>100</v>
      </c>
      <c r="E87" s="1">
        <v>52.5</v>
      </c>
      <c r="F87" s="1">
        <v>30.83</v>
      </c>
    </row>
    <row r="88" spans="1:6" x14ac:dyDescent="0.35">
      <c r="A88" s="1">
        <v>29</v>
      </c>
      <c r="B88" s="1" t="s">
        <v>74</v>
      </c>
      <c r="C88" s="1">
        <v>3.53</v>
      </c>
      <c r="D88" s="1">
        <v>86.67</v>
      </c>
      <c r="E88" s="1">
        <v>50</v>
      </c>
      <c r="F88" s="1">
        <v>21.67</v>
      </c>
    </row>
    <row r="89" spans="1:6" x14ac:dyDescent="0.35">
      <c r="A89" s="1">
        <v>30</v>
      </c>
      <c r="B89" s="1" t="s">
        <v>60</v>
      </c>
      <c r="C89" s="1">
        <v>3.67</v>
      </c>
      <c r="D89" s="1">
        <v>100</v>
      </c>
      <c r="E89" s="1">
        <v>42.5</v>
      </c>
      <c r="F89" s="1">
        <v>25</v>
      </c>
    </row>
    <row r="90" spans="1:6" x14ac:dyDescent="0.35">
      <c r="A90" s="1">
        <v>30</v>
      </c>
      <c r="B90" s="1" t="s">
        <v>148</v>
      </c>
      <c r="C90" s="1">
        <v>3.67</v>
      </c>
      <c r="D90" s="1">
        <v>86.67</v>
      </c>
      <c r="E90" s="1">
        <v>37.5</v>
      </c>
      <c r="F90" s="1">
        <v>38.33</v>
      </c>
    </row>
    <row r="91" spans="1:6" x14ac:dyDescent="0.35">
      <c r="A91" s="1">
        <v>30</v>
      </c>
      <c r="B91" s="1" t="s">
        <v>74</v>
      </c>
      <c r="C91" s="1">
        <v>2.93</v>
      </c>
      <c r="D91" s="1">
        <v>93.33</v>
      </c>
      <c r="E91" s="1">
        <v>67.5</v>
      </c>
      <c r="F91" s="1">
        <v>29.17</v>
      </c>
    </row>
    <row r="92" spans="1:6" x14ac:dyDescent="0.35">
      <c r="A92" s="1">
        <v>31</v>
      </c>
      <c r="B92" s="1" t="s">
        <v>60</v>
      </c>
      <c r="C92" s="1">
        <v>4.2</v>
      </c>
      <c r="D92" s="1">
        <v>86.67</v>
      </c>
      <c r="E92" s="1">
        <v>60</v>
      </c>
      <c r="F92" s="1">
        <v>37.5</v>
      </c>
    </row>
    <row r="93" spans="1:6" x14ac:dyDescent="0.35">
      <c r="A93" s="1">
        <v>31</v>
      </c>
      <c r="B93" s="1" t="s">
        <v>148</v>
      </c>
      <c r="C93" s="1">
        <v>3.07</v>
      </c>
      <c r="D93" s="1">
        <v>86.67</v>
      </c>
      <c r="E93" s="1">
        <v>55</v>
      </c>
      <c r="F93" s="1">
        <v>21.67</v>
      </c>
    </row>
    <row r="94" spans="1:6" x14ac:dyDescent="0.35">
      <c r="A94" s="1">
        <v>31</v>
      </c>
      <c r="B94" s="1" t="s">
        <v>74</v>
      </c>
      <c r="C94" s="1">
        <v>3.4</v>
      </c>
      <c r="D94" s="1">
        <v>86.67</v>
      </c>
      <c r="E94" s="1">
        <v>45</v>
      </c>
      <c r="F94" s="1">
        <v>36.67</v>
      </c>
    </row>
    <row r="95" spans="1:6" x14ac:dyDescent="0.35">
      <c r="A95" s="1">
        <v>32</v>
      </c>
      <c r="B95" s="1" t="s">
        <v>60</v>
      </c>
      <c r="C95" s="1">
        <v>3.67</v>
      </c>
      <c r="D95" s="1">
        <v>86.67</v>
      </c>
      <c r="E95" s="1">
        <v>47.5</v>
      </c>
      <c r="F95" s="1">
        <v>24.17</v>
      </c>
    </row>
    <row r="96" spans="1:6" x14ac:dyDescent="0.35">
      <c r="A96" s="1">
        <v>32</v>
      </c>
      <c r="B96" s="1" t="s">
        <v>148</v>
      </c>
      <c r="C96" s="1">
        <v>3.4</v>
      </c>
      <c r="D96" s="1">
        <v>93.33</v>
      </c>
      <c r="E96" s="1">
        <v>42.5</v>
      </c>
      <c r="F96" s="1">
        <v>15</v>
      </c>
    </row>
    <row r="97" spans="1:6" x14ac:dyDescent="0.35">
      <c r="A97" s="1">
        <v>32</v>
      </c>
      <c r="B97" s="1" t="s">
        <v>74</v>
      </c>
      <c r="C97" s="1">
        <v>3.4</v>
      </c>
      <c r="D97" s="1">
        <v>93.33</v>
      </c>
      <c r="E97" s="1">
        <v>50</v>
      </c>
      <c r="F97" s="1">
        <v>22.5</v>
      </c>
    </row>
    <row r="98" spans="1:6" x14ac:dyDescent="0.35">
      <c r="A98" s="1">
        <v>33</v>
      </c>
      <c r="B98" s="1" t="s">
        <v>60</v>
      </c>
      <c r="C98" s="1">
        <v>3.27</v>
      </c>
      <c r="D98" s="1">
        <v>86.67</v>
      </c>
      <c r="E98" s="1">
        <v>40</v>
      </c>
      <c r="F98" s="1">
        <v>24.17</v>
      </c>
    </row>
    <row r="99" spans="1:6" x14ac:dyDescent="0.35">
      <c r="A99" s="1">
        <v>33</v>
      </c>
      <c r="B99" s="1" t="s">
        <v>148</v>
      </c>
      <c r="C99" s="1">
        <v>2.93</v>
      </c>
      <c r="D99" s="1">
        <v>100</v>
      </c>
      <c r="E99" s="1">
        <v>40</v>
      </c>
      <c r="F99" s="1">
        <v>36.67</v>
      </c>
    </row>
    <row r="100" spans="1:6" x14ac:dyDescent="0.35">
      <c r="A100" s="1">
        <v>33</v>
      </c>
      <c r="B100" s="1" t="s">
        <v>74</v>
      </c>
      <c r="C100" s="1">
        <v>2.93</v>
      </c>
      <c r="D100" s="1">
        <v>100</v>
      </c>
      <c r="E100" s="1">
        <v>52.5</v>
      </c>
      <c r="F100" s="1">
        <v>50</v>
      </c>
    </row>
    <row r="101" spans="1:6" x14ac:dyDescent="0.35">
      <c r="A101" s="1">
        <v>34</v>
      </c>
      <c r="B101" s="1" t="s">
        <v>60</v>
      </c>
      <c r="C101" s="1">
        <v>3.4</v>
      </c>
      <c r="D101" s="1">
        <v>100</v>
      </c>
      <c r="E101" s="1">
        <v>37.5</v>
      </c>
      <c r="F101" s="1">
        <v>24.17</v>
      </c>
    </row>
    <row r="102" spans="1:6" x14ac:dyDescent="0.35">
      <c r="A102" s="1">
        <v>34</v>
      </c>
      <c r="B102" s="1" t="s">
        <v>148</v>
      </c>
      <c r="C102" s="1">
        <v>2.93</v>
      </c>
      <c r="D102" s="1">
        <v>93.33</v>
      </c>
      <c r="E102" s="1">
        <v>45</v>
      </c>
      <c r="F102" s="1">
        <v>27.5</v>
      </c>
    </row>
    <row r="103" spans="1:6" x14ac:dyDescent="0.35">
      <c r="A103" s="1">
        <v>34</v>
      </c>
      <c r="B103" s="1" t="s">
        <v>74</v>
      </c>
      <c r="C103" s="1">
        <v>3.47</v>
      </c>
      <c r="D103" s="1">
        <v>86.67</v>
      </c>
      <c r="E103" s="1">
        <v>55</v>
      </c>
      <c r="F103" s="1">
        <v>25</v>
      </c>
    </row>
    <row r="104" spans="1:6" x14ac:dyDescent="0.35">
      <c r="A104" s="1">
        <v>35</v>
      </c>
      <c r="B104" s="1" t="s">
        <v>60</v>
      </c>
      <c r="C104" s="1">
        <v>3.87</v>
      </c>
      <c r="D104" s="1">
        <v>86.67</v>
      </c>
      <c r="E104" s="1">
        <v>52.5</v>
      </c>
      <c r="F104" s="1">
        <v>38.33</v>
      </c>
    </row>
    <row r="105" spans="1:6" x14ac:dyDescent="0.35">
      <c r="A105" s="1">
        <v>35</v>
      </c>
      <c r="B105" s="1" t="s">
        <v>148</v>
      </c>
      <c r="C105" s="1">
        <v>3.87</v>
      </c>
      <c r="D105" s="1">
        <v>100</v>
      </c>
      <c r="E105" s="1">
        <v>62.5</v>
      </c>
      <c r="F105" s="1">
        <v>52.5</v>
      </c>
    </row>
    <row r="106" spans="1:6" x14ac:dyDescent="0.35">
      <c r="A106" s="1">
        <v>35</v>
      </c>
      <c r="B106" s="1" t="s">
        <v>74</v>
      </c>
      <c r="C106" s="1">
        <v>3.07</v>
      </c>
      <c r="D106" s="1">
        <v>100</v>
      </c>
      <c r="E106" s="1">
        <v>62.5</v>
      </c>
      <c r="F106" s="1">
        <v>51.67</v>
      </c>
    </row>
    <row r="107" spans="1:6" x14ac:dyDescent="0.35">
      <c r="A107" s="1">
        <v>36</v>
      </c>
      <c r="B107" s="1" t="s">
        <v>60</v>
      </c>
      <c r="C107" s="1">
        <v>3.53</v>
      </c>
      <c r="D107" s="1">
        <v>93.33</v>
      </c>
      <c r="E107" s="1">
        <v>50</v>
      </c>
      <c r="F107" s="1">
        <v>37.5</v>
      </c>
    </row>
    <row r="108" spans="1:6" x14ac:dyDescent="0.35">
      <c r="A108" s="1">
        <v>36</v>
      </c>
      <c r="B108" s="1" t="s">
        <v>148</v>
      </c>
      <c r="C108" s="1">
        <v>3.07</v>
      </c>
      <c r="D108" s="1">
        <v>100</v>
      </c>
      <c r="E108" s="1">
        <v>40</v>
      </c>
      <c r="F108" s="1">
        <v>36.67</v>
      </c>
    </row>
    <row r="109" spans="1:6" x14ac:dyDescent="0.35">
      <c r="A109" s="1">
        <v>36</v>
      </c>
      <c r="B109" s="1" t="s">
        <v>74</v>
      </c>
      <c r="C109" s="1">
        <v>3.8</v>
      </c>
      <c r="D109" s="1">
        <v>100</v>
      </c>
      <c r="E109" s="1">
        <v>70</v>
      </c>
      <c r="F109" s="1">
        <v>46.67</v>
      </c>
    </row>
    <row r="110" spans="1:6" x14ac:dyDescent="0.35">
      <c r="A110" s="1">
        <v>37</v>
      </c>
      <c r="B110" s="1" t="s">
        <v>60</v>
      </c>
      <c r="C110" s="1">
        <v>3.73</v>
      </c>
      <c r="D110" s="1">
        <v>93.33</v>
      </c>
      <c r="E110" s="1">
        <v>55</v>
      </c>
      <c r="F110" s="1">
        <v>46.67</v>
      </c>
    </row>
    <row r="111" spans="1:6" x14ac:dyDescent="0.35">
      <c r="A111" s="1">
        <v>37</v>
      </c>
      <c r="B111" s="1" t="s">
        <v>148</v>
      </c>
      <c r="C111" s="1">
        <v>3.2</v>
      </c>
      <c r="D111" s="1">
        <v>100</v>
      </c>
      <c r="E111" s="1">
        <v>67.5</v>
      </c>
      <c r="F111" s="1">
        <v>26.67</v>
      </c>
    </row>
    <row r="112" spans="1:6" x14ac:dyDescent="0.35">
      <c r="A112" s="1">
        <v>37</v>
      </c>
      <c r="B112" s="1" t="s">
        <v>74</v>
      </c>
      <c r="C112" s="1">
        <v>3.67</v>
      </c>
      <c r="D112" s="1">
        <v>93.33</v>
      </c>
      <c r="E112" s="1">
        <v>60</v>
      </c>
      <c r="F112" s="1">
        <v>36.67</v>
      </c>
    </row>
    <row r="113" spans="1:6" x14ac:dyDescent="0.35">
      <c r="A113" s="1">
        <v>38</v>
      </c>
      <c r="B113" s="1" t="s">
        <v>60</v>
      </c>
      <c r="C113" s="1">
        <v>3.27</v>
      </c>
      <c r="D113" s="1">
        <v>93.33</v>
      </c>
      <c r="E113" s="1">
        <v>57.5</v>
      </c>
      <c r="F113" s="1">
        <v>40</v>
      </c>
    </row>
    <row r="114" spans="1:6" x14ac:dyDescent="0.35">
      <c r="A114" s="1">
        <v>38</v>
      </c>
      <c r="B114" s="1" t="s">
        <v>148</v>
      </c>
      <c r="C114" s="1">
        <v>3.13</v>
      </c>
      <c r="D114" s="1">
        <v>93.33</v>
      </c>
      <c r="E114" s="1">
        <v>50</v>
      </c>
      <c r="F114" s="1">
        <v>33.33</v>
      </c>
    </row>
    <row r="115" spans="1:6" x14ac:dyDescent="0.35">
      <c r="A115" s="1">
        <v>38</v>
      </c>
      <c r="B115" s="1" t="s">
        <v>74</v>
      </c>
      <c r="C115" s="1">
        <v>3.47</v>
      </c>
      <c r="D115" s="1">
        <v>100</v>
      </c>
      <c r="E115" s="1">
        <v>45</v>
      </c>
      <c r="F115" s="1">
        <v>18.329999999999998</v>
      </c>
    </row>
    <row r="116" spans="1:6" x14ac:dyDescent="0.35">
      <c r="A116" s="1">
        <v>39</v>
      </c>
      <c r="B116" s="1" t="s">
        <v>60</v>
      </c>
      <c r="C116" s="1">
        <v>3.47</v>
      </c>
      <c r="D116" s="1">
        <v>93.33</v>
      </c>
      <c r="E116" s="1">
        <v>57.5</v>
      </c>
      <c r="F116" s="1">
        <v>40</v>
      </c>
    </row>
    <row r="117" spans="1:6" x14ac:dyDescent="0.35">
      <c r="A117" s="1">
        <v>39</v>
      </c>
      <c r="B117" s="1" t="s">
        <v>148</v>
      </c>
      <c r="C117" s="1">
        <v>3.07</v>
      </c>
      <c r="D117" s="1">
        <v>100</v>
      </c>
      <c r="E117" s="1">
        <v>57.5</v>
      </c>
      <c r="F117" s="1">
        <v>48.33</v>
      </c>
    </row>
    <row r="118" spans="1:6" x14ac:dyDescent="0.35">
      <c r="A118" s="1">
        <v>39</v>
      </c>
      <c r="B118" s="1" t="s">
        <v>74</v>
      </c>
      <c r="C118" s="1">
        <v>4.07</v>
      </c>
      <c r="D118" s="1">
        <v>86.67</v>
      </c>
      <c r="E118" s="1">
        <v>50</v>
      </c>
      <c r="F118" s="1">
        <v>36.67</v>
      </c>
    </row>
    <row r="119" spans="1:6" x14ac:dyDescent="0.35">
      <c r="A119" s="1">
        <v>40</v>
      </c>
      <c r="B119" s="1" t="s">
        <v>60</v>
      </c>
      <c r="C119" s="1">
        <v>3.87</v>
      </c>
      <c r="D119" s="1">
        <v>86.67</v>
      </c>
      <c r="E119" s="1">
        <v>47.5</v>
      </c>
      <c r="F119" s="1">
        <v>26.67</v>
      </c>
    </row>
    <row r="120" spans="1:6" x14ac:dyDescent="0.35">
      <c r="A120" s="1">
        <v>40</v>
      </c>
      <c r="B120" s="1" t="s">
        <v>148</v>
      </c>
      <c r="C120" s="1">
        <v>3.33</v>
      </c>
      <c r="D120" s="1">
        <v>100</v>
      </c>
      <c r="E120" s="1">
        <v>47.5</v>
      </c>
      <c r="F120" s="1">
        <v>30</v>
      </c>
    </row>
    <row r="121" spans="1:6" x14ac:dyDescent="0.35">
      <c r="A121" s="1">
        <v>40</v>
      </c>
      <c r="B121" s="1" t="s">
        <v>74</v>
      </c>
      <c r="C121" s="1">
        <v>3</v>
      </c>
      <c r="D121" s="1">
        <v>93.33</v>
      </c>
      <c r="E121" s="1">
        <v>42.5</v>
      </c>
      <c r="F121" s="1">
        <v>68.33</v>
      </c>
    </row>
    <row r="122" spans="1:6" x14ac:dyDescent="0.35">
      <c r="A122" s="1">
        <v>41</v>
      </c>
      <c r="B122" s="1" t="s">
        <v>60</v>
      </c>
      <c r="C122" s="1">
        <v>3.67</v>
      </c>
      <c r="D122" s="1">
        <v>100</v>
      </c>
      <c r="E122" s="1">
        <v>40</v>
      </c>
      <c r="F122" s="1">
        <v>27.5</v>
      </c>
    </row>
    <row r="123" spans="1:6" x14ac:dyDescent="0.35">
      <c r="A123" s="1">
        <v>41</v>
      </c>
      <c r="B123" s="1" t="s">
        <v>148</v>
      </c>
      <c r="C123" s="1">
        <v>2.4</v>
      </c>
      <c r="D123" s="1">
        <v>93.33</v>
      </c>
      <c r="E123" s="1">
        <v>52.5</v>
      </c>
      <c r="F123" s="1">
        <v>38.33</v>
      </c>
    </row>
    <row r="124" spans="1:6" x14ac:dyDescent="0.35">
      <c r="A124" s="1">
        <v>41</v>
      </c>
      <c r="B124" s="1" t="s">
        <v>74</v>
      </c>
      <c r="C124" s="1">
        <v>3.13</v>
      </c>
      <c r="D124" s="1">
        <v>100</v>
      </c>
      <c r="E124" s="1">
        <v>42.5</v>
      </c>
      <c r="F124" s="1">
        <v>30.83</v>
      </c>
    </row>
    <row r="125" spans="1:6" x14ac:dyDescent="0.35">
      <c r="A125" s="1">
        <v>42</v>
      </c>
      <c r="B125" s="1" t="s">
        <v>60</v>
      </c>
      <c r="C125" s="1">
        <v>4.33</v>
      </c>
      <c r="D125" s="1">
        <v>93.33</v>
      </c>
      <c r="E125" s="1">
        <v>60</v>
      </c>
      <c r="F125" s="1">
        <v>30</v>
      </c>
    </row>
    <row r="126" spans="1:6" x14ac:dyDescent="0.35">
      <c r="A126" s="1">
        <v>42</v>
      </c>
      <c r="B126" s="1" t="s">
        <v>148</v>
      </c>
      <c r="C126" s="1">
        <v>2.93</v>
      </c>
      <c r="D126" s="1">
        <v>100</v>
      </c>
      <c r="E126" s="1">
        <v>35</v>
      </c>
      <c r="F126" s="1">
        <v>36.67</v>
      </c>
    </row>
    <row r="127" spans="1:6" x14ac:dyDescent="0.35">
      <c r="A127" s="1">
        <v>42</v>
      </c>
      <c r="B127" s="1" t="s">
        <v>74</v>
      </c>
      <c r="C127" s="1">
        <v>3.47</v>
      </c>
      <c r="D127" s="1">
        <v>100</v>
      </c>
      <c r="E127" s="1">
        <v>50</v>
      </c>
      <c r="F127" s="1">
        <v>26.67</v>
      </c>
    </row>
    <row r="128" spans="1:6" x14ac:dyDescent="0.35">
      <c r="A128" s="1">
        <v>43</v>
      </c>
      <c r="B128" s="1" t="s">
        <v>60</v>
      </c>
      <c r="C128" s="1">
        <v>4.13</v>
      </c>
      <c r="D128" s="1">
        <v>93.33</v>
      </c>
      <c r="E128" s="1">
        <v>57.5</v>
      </c>
      <c r="F128" s="1">
        <v>40</v>
      </c>
    </row>
    <row r="129" spans="1:6" x14ac:dyDescent="0.35">
      <c r="A129" s="1">
        <v>43</v>
      </c>
      <c r="B129" s="1" t="s">
        <v>148</v>
      </c>
      <c r="C129" s="1">
        <v>3.47</v>
      </c>
      <c r="D129" s="1">
        <v>93.33</v>
      </c>
      <c r="E129" s="1">
        <v>35</v>
      </c>
      <c r="F129" s="1">
        <v>28.33</v>
      </c>
    </row>
    <row r="130" spans="1:6" x14ac:dyDescent="0.35">
      <c r="A130" s="1">
        <v>43</v>
      </c>
      <c r="B130" s="1" t="s">
        <v>74</v>
      </c>
      <c r="C130" s="1">
        <v>3.6</v>
      </c>
      <c r="D130" s="1">
        <v>100</v>
      </c>
      <c r="E130" s="1">
        <v>67.5</v>
      </c>
      <c r="F130" s="1">
        <v>30</v>
      </c>
    </row>
    <row r="131" spans="1:6" x14ac:dyDescent="0.35">
      <c r="A131" s="1">
        <v>44</v>
      </c>
      <c r="B131" s="1" t="s">
        <v>60</v>
      </c>
      <c r="C131" s="1">
        <v>3.6</v>
      </c>
      <c r="D131" s="1">
        <v>100</v>
      </c>
      <c r="E131" s="1">
        <v>62.5</v>
      </c>
      <c r="F131" s="1">
        <v>33.33</v>
      </c>
    </row>
    <row r="132" spans="1:6" x14ac:dyDescent="0.35">
      <c r="A132" s="1">
        <v>44</v>
      </c>
      <c r="B132" s="1" t="s">
        <v>148</v>
      </c>
      <c r="C132" s="1">
        <v>3.6</v>
      </c>
      <c r="D132" s="1">
        <v>93.33</v>
      </c>
      <c r="E132" s="1">
        <v>40</v>
      </c>
      <c r="F132" s="1">
        <v>30.83</v>
      </c>
    </row>
    <row r="133" spans="1:6" x14ac:dyDescent="0.35">
      <c r="A133" s="1">
        <v>44</v>
      </c>
      <c r="B133" s="1" t="s">
        <v>74</v>
      </c>
      <c r="C133" s="1">
        <v>3.87</v>
      </c>
      <c r="D133" s="1">
        <v>100</v>
      </c>
      <c r="E133" s="1">
        <v>57.5</v>
      </c>
      <c r="F133" s="1">
        <v>48.33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B40D8-20A3-4E1A-8A74-C23F6319477E}">
  <dimension ref="A1:T21"/>
  <sheetViews>
    <sheetView topLeftCell="D1" zoomScale="52" zoomScaleNormal="85" workbookViewId="0">
      <selection activeCell="R18" sqref="R18"/>
    </sheetView>
  </sheetViews>
  <sheetFormatPr defaultRowHeight="14.5" x14ac:dyDescent="0.35"/>
  <cols>
    <col min="1" max="1" width="18.08984375" customWidth="1"/>
    <col min="2" max="2" width="11.1796875" customWidth="1"/>
    <col min="4" max="4" width="11.54296875" customWidth="1"/>
    <col min="5" max="5" width="17.7265625" customWidth="1"/>
    <col min="7" max="7" width="22.7265625" bestFit="1" customWidth="1"/>
    <col min="8" max="8" width="6.6328125" bestFit="1" customWidth="1"/>
    <col min="9" max="9" width="13" customWidth="1"/>
    <col min="10" max="10" width="12.1796875" customWidth="1"/>
    <col min="11" max="11" width="12.36328125" customWidth="1"/>
    <col min="13" max="13" width="16.26953125" customWidth="1"/>
    <col min="14" max="14" width="12.453125" customWidth="1"/>
    <col min="15" max="15" width="20.26953125" customWidth="1"/>
    <col min="16" max="16" width="20.1796875" customWidth="1"/>
    <col min="17" max="17" width="13.36328125" customWidth="1"/>
    <col min="20" max="20" width="12" customWidth="1"/>
  </cols>
  <sheetData>
    <row r="1" spans="1:20" ht="15.5" x14ac:dyDescent="0.35">
      <c r="G1" s="28" t="s">
        <v>172</v>
      </c>
      <c r="H1" s="37"/>
      <c r="I1" s="37"/>
      <c r="J1" s="37"/>
      <c r="K1" s="37"/>
      <c r="M1" s="28" t="s">
        <v>176</v>
      </c>
      <c r="N1" s="28"/>
      <c r="O1" s="28"/>
      <c r="Q1" s="29" t="s">
        <v>186</v>
      </c>
      <c r="R1" s="30"/>
      <c r="S1" s="30"/>
      <c r="T1" s="30"/>
    </row>
    <row r="2" spans="1:20" ht="29" customHeight="1" x14ac:dyDescent="0.35">
      <c r="A2" s="31" t="s">
        <v>160</v>
      </c>
      <c r="B2" s="32"/>
      <c r="C2" s="32"/>
      <c r="D2" s="32"/>
      <c r="E2" s="33"/>
      <c r="G2" s="34" t="s">
        <v>161</v>
      </c>
      <c r="H2" s="35"/>
      <c r="I2" s="35"/>
      <c r="J2" s="35"/>
      <c r="K2" s="36"/>
      <c r="M2" s="8" t="s">
        <v>149</v>
      </c>
      <c r="N2" s="8" t="s">
        <v>174</v>
      </c>
      <c r="O2" s="8" t="s">
        <v>177</v>
      </c>
      <c r="P2" s="24"/>
      <c r="Q2" s="8" t="s">
        <v>149</v>
      </c>
      <c r="R2" s="8" t="s">
        <v>60</v>
      </c>
      <c r="S2" s="8" t="s">
        <v>148</v>
      </c>
      <c r="T2" s="8" t="s">
        <v>74</v>
      </c>
    </row>
    <row r="3" spans="1:20" ht="58" customHeight="1" x14ac:dyDescent="0.35">
      <c r="A3" s="8" t="s">
        <v>149</v>
      </c>
      <c r="B3" s="8" t="s">
        <v>150</v>
      </c>
      <c r="C3" s="8" t="s">
        <v>151</v>
      </c>
      <c r="D3" s="8" t="s">
        <v>152</v>
      </c>
      <c r="E3" s="8" t="s">
        <v>153</v>
      </c>
      <c r="G3" s="8" t="s">
        <v>162</v>
      </c>
      <c r="H3" s="8" t="s">
        <v>163</v>
      </c>
      <c r="I3" s="8" t="s">
        <v>164</v>
      </c>
      <c r="J3" s="8" t="s">
        <v>165</v>
      </c>
      <c r="K3" s="8" t="s">
        <v>153</v>
      </c>
      <c r="M3" s="12" t="s">
        <v>154</v>
      </c>
      <c r="N3" s="12" t="s">
        <v>182</v>
      </c>
      <c r="O3" s="12" t="s">
        <v>178</v>
      </c>
      <c r="P3" s="25"/>
      <c r="Q3" s="26" t="s">
        <v>154</v>
      </c>
      <c r="R3" s="12">
        <v>87.88</v>
      </c>
      <c r="S3" s="26">
        <v>92.27</v>
      </c>
      <c r="T3" s="12">
        <v>91.67</v>
      </c>
    </row>
    <row r="4" spans="1:20" ht="43.5" customHeight="1" x14ac:dyDescent="0.35">
      <c r="A4" s="12" t="s">
        <v>154</v>
      </c>
      <c r="B4" s="12">
        <v>5.13</v>
      </c>
      <c r="C4" s="12">
        <v>8.0000000000000002E-3</v>
      </c>
      <c r="D4" s="12">
        <v>0.106</v>
      </c>
      <c r="E4" s="26" t="s">
        <v>155</v>
      </c>
      <c r="G4" s="12" t="s">
        <v>166</v>
      </c>
      <c r="H4" s="12">
        <v>-2.87</v>
      </c>
      <c r="I4" s="12">
        <v>6.0000000000000001E-3</v>
      </c>
      <c r="J4" s="12">
        <v>1.9E-2</v>
      </c>
      <c r="K4" s="26" t="s">
        <v>155</v>
      </c>
      <c r="M4" s="12" t="s">
        <v>156</v>
      </c>
      <c r="N4" s="12" t="s">
        <v>148</v>
      </c>
      <c r="O4" s="12" t="s">
        <v>179</v>
      </c>
      <c r="P4" s="25"/>
      <c r="Q4" s="26" t="s">
        <v>183</v>
      </c>
      <c r="R4" s="12">
        <v>3.45</v>
      </c>
      <c r="S4" s="26">
        <v>3.31</v>
      </c>
      <c r="T4" s="12">
        <v>3.43</v>
      </c>
    </row>
    <row r="5" spans="1:20" ht="58" customHeight="1" x14ac:dyDescent="0.35">
      <c r="A5" s="12" t="s">
        <v>156</v>
      </c>
      <c r="B5" s="12">
        <v>1.87</v>
      </c>
      <c r="C5" s="12">
        <v>0.161</v>
      </c>
      <c r="D5" s="12">
        <v>4.2000000000000003E-2</v>
      </c>
      <c r="E5" s="12" t="s">
        <v>157</v>
      </c>
      <c r="G5" s="12" t="s">
        <v>167</v>
      </c>
      <c r="H5" s="12">
        <v>-2.4900000000000002</v>
      </c>
      <c r="I5" s="12">
        <v>1.7000000000000001E-2</v>
      </c>
      <c r="J5" s="12">
        <v>5.0999999999999997E-2</v>
      </c>
      <c r="K5" s="12" t="s">
        <v>168</v>
      </c>
      <c r="M5" s="12" t="s">
        <v>158</v>
      </c>
      <c r="N5" s="12" t="s">
        <v>175</v>
      </c>
      <c r="O5" s="12" t="s">
        <v>180</v>
      </c>
      <c r="P5" s="25"/>
      <c r="Q5" s="26" t="s">
        <v>184</v>
      </c>
      <c r="R5" s="12">
        <v>49.94</v>
      </c>
      <c r="S5" s="12">
        <v>47.33</v>
      </c>
      <c r="T5" s="26">
        <v>52.56</v>
      </c>
    </row>
    <row r="6" spans="1:20" ht="43.5" customHeight="1" x14ac:dyDescent="0.35">
      <c r="A6" s="12" t="s">
        <v>158</v>
      </c>
      <c r="B6" s="12">
        <v>3.51</v>
      </c>
      <c r="C6" s="12">
        <v>3.4000000000000002E-2</v>
      </c>
      <c r="D6" s="12">
        <v>7.4999999999999997E-2</v>
      </c>
      <c r="E6" s="26" t="s">
        <v>155</v>
      </c>
      <c r="G6" s="12" t="s">
        <v>170</v>
      </c>
      <c r="H6" s="12">
        <v>0.43</v>
      </c>
      <c r="I6" s="12">
        <v>0.66700000000000004</v>
      </c>
      <c r="J6" s="12">
        <v>1</v>
      </c>
      <c r="K6" s="27" t="s">
        <v>171</v>
      </c>
      <c r="M6" s="12" t="s">
        <v>159</v>
      </c>
      <c r="N6" s="12" t="s">
        <v>175</v>
      </c>
      <c r="O6" s="12" t="s">
        <v>181</v>
      </c>
      <c r="P6" s="25"/>
      <c r="Q6" s="26" t="s">
        <v>185</v>
      </c>
      <c r="R6" s="12">
        <v>31.16</v>
      </c>
      <c r="S6" s="12">
        <v>30.89</v>
      </c>
      <c r="T6" s="26">
        <v>30.66</v>
      </c>
    </row>
    <row r="7" spans="1:20" x14ac:dyDescent="0.35">
      <c r="A7" s="12" t="s">
        <v>159</v>
      </c>
      <c r="B7" s="12">
        <v>0.04</v>
      </c>
      <c r="C7" s="12">
        <v>0.96199999999999997</v>
      </c>
      <c r="D7" s="12">
        <v>1E-3</v>
      </c>
      <c r="E7" s="12" t="s">
        <v>157</v>
      </c>
    </row>
    <row r="8" spans="1:20" ht="23.5" x14ac:dyDescent="0.35">
      <c r="G8" s="34" t="s">
        <v>169</v>
      </c>
      <c r="H8" s="35"/>
      <c r="I8" s="35"/>
      <c r="J8" s="35"/>
      <c r="K8" s="36"/>
      <c r="N8" s="38" t="s">
        <v>203</v>
      </c>
      <c r="O8" s="39"/>
      <c r="P8" s="39"/>
    </row>
    <row r="9" spans="1:20" ht="29" x14ac:dyDescent="0.35">
      <c r="G9" s="8" t="s">
        <v>162</v>
      </c>
      <c r="H9" s="8" t="s">
        <v>163</v>
      </c>
      <c r="I9" s="8" t="s">
        <v>164</v>
      </c>
      <c r="J9" s="8" t="s">
        <v>165</v>
      </c>
      <c r="K9" s="8" t="s">
        <v>153</v>
      </c>
      <c r="N9" s="8" t="s">
        <v>187</v>
      </c>
      <c r="O9" s="8" t="s">
        <v>188</v>
      </c>
      <c r="P9" s="8" t="s">
        <v>189</v>
      </c>
    </row>
    <row r="10" spans="1:20" ht="29" x14ac:dyDescent="0.35">
      <c r="G10" s="12" t="s">
        <v>166</v>
      </c>
      <c r="H10" s="12">
        <v>1.46</v>
      </c>
      <c r="I10" s="12">
        <v>0.152</v>
      </c>
      <c r="J10" s="12">
        <v>0.45600000000000002</v>
      </c>
      <c r="K10" s="12" t="s">
        <v>157</v>
      </c>
      <c r="N10" s="26" t="s">
        <v>190</v>
      </c>
      <c r="O10" s="59">
        <v>8.3000000000000004E-2</v>
      </c>
      <c r="P10" s="12" t="s">
        <v>191</v>
      </c>
    </row>
    <row r="11" spans="1:20" ht="29" x14ac:dyDescent="0.35">
      <c r="G11" s="12" t="s">
        <v>167</v>
      </c>
      <c r="H11" s="12">
        <v>-1.23</v>
      </c>
      <c r="I11" s="12">
        <v>0.224</v>
      </c>
      <c r="J11" s="12">
        <v>0.67100000000000004</v>
      </c>
      <c r="K11" s="12" t="s">
        <v>157</v>
      </c>
      <c r="N11" s="26" t="s">
        <v>192</v>
      </c>
      <c r="O11" s="59">
        <v>0.06</v>
      </c>
      <c r="P11" s="12" t="s">
        <v>191</v>
      </c>
    </row>
    <row r="12" spans="1:20" ht="29" x14ac:dyDescent="0.35">
      <c r="G12" s="12" t="s">
        <v>170</v>
      </c>
      <c r="H12" s="12">
        <v>-2.61</v>
      </c>
      <c r="I12" s="12">
        <v>1.2E-2</v>
      </c>
      <c r="J12" s="12">
        <v>3.6999999999999998E-2</v>
      </c>
      <c r="K12" s="26" t="s">
        <v>155</v>
      </c>
      <c r="N12" s="26" t="s">
        <v>193</v>
      </c>
      <c r="O12" s="59">
        <v>5.1999999999999998E-2</v>
      </c>
      <c r="P12" s="12" t="s">
        <v>191</v>
      </c>
    </row>
    <row r="13" spans="1:20" ht="29" x14ac:dyDescent="0.35">
      <c r="N13" s="26" t="s">
        <v>194</v>
      </c>
      <c r="O13" s="58">
        <v>6.2E-2</v>
      </c>
      <c r="P13" s="12" t="s">
        <v>191</v>
      </c>
    </row>
    <row r="14" spans="1:20" ht="29" x14ac:dyDescent="0.35">
      <c r="N14" s="26" t="s">
        <v>195</v>
      </c>
      <c r="O14" s="58">
        <v>5.8999999999999997E-2</v>
      </c>
      <c r="P14" s="12" t="s">
        <v>191</v>
      </c>
    </row>
    <row r="15" spans="1:20" ht="43.5" x14ac:dyDescent="0.35">
      <c r="N15" s="26" t="s">
        <v>196</v>
      </c>
      <c r="O15" s="58">
        <v>5.3999999999999999E-2</v>
      </c>
      <c r="P15" s="12" t="s">
        <v>191</v>
      </c>
    </row>
    <row r="16" spans="1:20" x14ac:dyDescent="0.35">
      <c r="N16" s="26" t="s">
        <v>197</v>
      </c>
      <c r="O16" s="58">
        <v>5.0999999999999997E-2</v>
      </c>
      <c r="P16" s="12" t="s">
        <v>191</v>
      </c>
    </row>
    <row r="17" spans="14:16" x14ac:dyDescent="0.35">
      <c r="N17" s="26" t="s">
        <v>198</v>
      </c>
      <c r="O17" s="58">
        <v>0.06</v>
      </c>
      <c r="P17" s="12" t="s">
        <v>191</v>
      </c>
    </row>
    <row r="18" spans="14:16" ht="29" x14ac:dyDescent="0.35">
      <c r="N18" s="26" t="s">
        <v>199</v>
      </c>
      <c r="O18" s="58">
        <v>5.0999999999999997E-2</v>
      </c>
      <c r="P18" s="12" t="s">
        <v>191</v>
      </c>
    </row>
    <row r="19" spans="14:16" x14ac:dyDescent="0.35">
      <c r="N19" s="26" t="s">
        <v>200</v>
      </c>
      <c r="O19" s="58">
        <v>0.159</v>
      </c>
      <c r="P19" s="12" t="s">
        <v>191</v>
      </c>
    </row>
    <row r="20" spans="14:16" x14ac:dyDescent="0.35">
      <c r="N20" s="26" t="s">
        <v>201</v>
      </c>
      <c r="O20" s="58">
        <v>0.14399999999999999</v>
      </c>
      <c r="P20" s="12" t="s">
        <v>191</v>
      </c>
    </row>
    <row r="21" spans="14:16" ht="29" x14ac:dyDescent="0.35">
      <c r="N21" s="26" t="s">
        <v>202</v>
      </c>
      <c r="O21" s="58">
        <v>0.20200000000000001</v>
      </c>
      <c r="P21" s="12" t="s">
        <v>191</v>
      </c>
    </row>
  </sheetData>
  <mergeCells count="7">
    <mergeCell ref="M1:O1"/>
    <mergeCell ref="Q1:T1"/>
    <mergeCell ref="A2:E2"/>
    <mergeCell ref="G2:K2"/>
    <mergeCell ref="G8:K8"/>
    <mergeCell ref="G1:K1"/>
    <mergeCell ref="N8:P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B6603-760D-4263-9B6C-EEF2AD3E7800}">
  <dimension ref="A1:M46"/>
  <sheetViews>
    <sheetView zoomScale="56" workbookViewId="0">
      <selection sqref="A1:M1"/>
    </sheetView>
  </sheetViews>
  <sheetFormatPr defaultRowHeight="14.5" x14ac:dyDescent="0.35"/>
  <cols>
    <col min="1" max="1" width="9.7265625" bestFit="1" customWidth="1"/>
    <col min="2" max="2" width="20.08984375" bestFit="1" customWidth="1"/>
    <col min="3" max="3" width="20.7265625" bestFit="1" customWidth="1"/>
    <col min="4" max="4" width="23.6328125" bestFit="1" customWidth="1"/>
    <col min="5" max="5" width="35.54296875" bestFit="1" customWidth="1"/>
    <col min="6" max="6" width="35.1796875" bestFit="1" customWidth="1"/>
    <col min="7" max="7" width="39.08984375" bestFit="1" customWidth="1"/>
  </cols>
  <sheetData>
    <row r="1" spans="1:13" x14ac:dyDescent="0.35">
      <c r="A1" s="54" t="s">
        <v>211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</row>
    <row r="2" spans="1:13" x14ac:dyDescent="0.35">
      <c r="A2" t="s">
        <v>142</v>
      </c>
      <c r="B2" t="s">
        <v>204</v>
      </c>
      <c r="C2" t="s">
        <v>205</v>
      </c>
      <c r="D2" t="s">
        <v>206</v>
      </c>
      <c r="E2" t="s">
        <v>207</v>
      </c>
      <c r="F2" t="s">
        <v>208</v>
      </c>
      <c r="G2" t="s">
        <v>209</v>
      </c>
      <c r="H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</row>
    <row r="3" spans="1:13" x14ac:dyDescent="0.35">
      <c r="A3">
        <v>1</v>
      </c>
      <c r="B3">
        <v>0.38258300000000001</v>
      </c>
      <c r="C3">
        <v>0.91012599999999999</v>
      </c>
      <c r="D3">
        <v>-8.8112999999999997E-2</v>
      </c>
      <c r="E3">
        <v>9.5772999999999997E-2</v>
      </c>
      <c r="F3">
        <v>-0.27174399999999999</v>
      </c>
      <c r="G3">
        <v>0.21526100000000001</v>
      </c>
      <c r="H3">
        <v>-4.5541999999999999E-2</v>
      </c>
      <c r="I3">
        <v>-5.2083999999999998E-2</v>
      </c>
      <c r="J3">
        <v>5.5927999999999999E-2</v>
      </c>
      <c r="K3">
        <v>0.18635299999999999</v>
      </c>
      <c r="L3">
        <v>0.92822700000000002</v>
      </c>
      <c r="M3">
        <v>-0.56036600000000003</v>
      </c>
    </row>
    <row r="4" spans="1:13" x14ac:dyDescent="0.35">
      <c r="A4">
        <v>2</v>
      </c>
      <c r="B4">
        <v>4.5909999999999999E-2</v>
      </c>
      <c r="C4">
        <v>0.49728600000000001</v>
      </c>
      <c r="D4">
        <v>-0.66966199999999998</v>
      </c>
      <c r="E4">
        <v>9.8710000000000006E-2</v>
      </c>
      <c r="F4">
        <v>-1.2536E-2</v>
      </c>
      <c r="G4">
        <v>-0.27174399999999999</v>
      </c>
      <c r="H4">
        <v>4.6420000000000003E-2</v>
      </c>
      <c r="I4">
        <v>-1.3079E-2</v>
      </c>
      <c r="J4">
        <v>-3.6785999999999999E-2</v>
      </c>
      <c r="K4">
        <v>-2.6336999999999999E-2</v>
      </c>
      <c r="L4">
        <v>-0.68507399999999996</v>
      </c>
      <c r="M4">
        <v>0.51788900000000004</v>
      </c>
    </row>
    <row r="5" spans="1:13" x14ac:dyDescent="0.35">
      <c r="A5">
        <v>3</v>
      </c>
      <c r="B5">
        <v>0.21424699999999999</v>
      </c>
      <c r="C5">
        <v>0.91012599999999999</v>
      </c>
      <c r="D5">
        <v>0.105736</v>
      </c>
      <c r="E5">
        <v>0.34808099999999997</v>
      </c>
      <c r="F5">
        <v>6.2935000000000005E-2</v>
      </c>
      <c r="G5">
        <v>-0.27174399999999999</v>
      </c>
      <c r="H5">
        <v>-4.5541999999999999E-2</v>
      </c>
      <c r="I5">
        <v>-5.2083999999999998E-2</v>
      </c>
      <c r="J5">
        <v>5.5927999999999999E-2</v>
      </c>
      <c r="K5">
        <v>0.18635299999999999</v>
      </c>
      <c r="L5">
        <v>0.58858500000000002</v>
      </c>
      <c r="M5">
        <v>-0.56036600000000003</v>
      </c>
    </row>
    <row r="6" spans="1:13" x14ac:dyDescent="0.35">
      <c r="A6">
        <v>4</v>
      </c>
      <c r="B6">
        <v>-0.79577299999999995</v>
      </c>
      <c r="C6">
        <v>0.91012599999999999</v>
      </c>
      <c r="D6">
        <v>0.88113399999999997</v>
      </c>
      <c r="E6">
        <v>0.17006199999999999</v>
      </c>
      <c r="F6">
        <v>0.41329500000000002</v>
      </c>
      <c r="G6">
        <v>-0.27174399999999999</v>
      </c>
      <c r="H6">
        <v>-0.258303</v>
      </c>
      <c r="I6">
        <v>0.30648500000000001</v>
      </c>
      <c r="J6">
        <v>-0.16125800000000001</v>
      </c>
      <c r="K6">
        <v>0.37210599999999999</v>
      </c>
      <c r="L6">
        <v>-0.68507399999999996</v>
      </c>
      <c r="M6">
        <v>-1.5667359999999999</v>
      </c>
    </row>
    <row r="7" spans="1:13" x14ac:dyDescent="0.35">
      <c r="A7">
        <v>5</v>
      </c>
      <c r="B7">
        <v>-0.62743700000000002</v>
      </c>
      <c r="C7">
        <v>1.116547</v>
      </c>
      <c r="D7">
        <v>2.0442309999999999</v>
      </c>
      <c r="E7">
        <v>-5.0078999999999999E-2</v>
      </c>
      <c r="F7">
        <v>0.33510400000000001</v>
      </c>
      <c r="G7">
        <v>-0.27174399999999999</v>
      </c>
      <c r="H7">
        <v>-0.19722799999999999</v>
      </c>
      <c r="I7">
        <v>-7.7590999999999993E-2</v>
      </c>
      <c r="J7">
        <v>0.120086</v>
      </c>
      <c r="K7">
        <v>0.18868699999999999</v>
      </c>
      <c r="L7">
        <v>1.0131380000000001</v>
      </c>
      <c r="M7">
        <v>0.73353999999999997</v>
      </c>
    </row>
    <row r="8" spans="1:13" x14ac:dyDescent="0.35">
      <c r="A8">
        <v>6</v>
      </c>
      <c r="B8">
        <v>-1.132447</v>
      </c>
      <c r="C8">
        <v>-0.53481699999999999</v>
      </c>
      <c r="D8">
        <v>-0.66966199999999998</v>
      </c>
      <c r="E8">
        <v>-0.13580500000000001</v>
      </c>
      <c r="F8">
        <v>-0.14935399999999999</v>
      </c>
      <c r="G8">
        <v>-0.27174399999999999</v>
      </c>
      <c r="H8">
        <v>0.31667299999999998</v>
      </c>
      <c r="I8">
        <v>4.6420000000000003E-2</v>
      </c>
      <c r="J8">
        <v>5.5927999999999999E-2</v>
      </c>
      <c r="K8">
        <v>0.18635299999999999</v>
      </c>
      <c r="L8">
        <v>-1.6190910000000001</v>
      </c>
      <c r="M8">
        <v>-1.279202</v>
      </c>
    </row>
    <row r="9" spans="1:13" x14ac:dyDescent="0.35">
      <c r="A9">
        <v>7</v>
      </c>
      <c r="B9">
        <v>0.71925700000000004</v>
      </c>
      <c r="C9">
        <v>-0.53481699999999999</v>
      </c>
      <c r="D9">
        <v>-1.057361</v>
      </c>
      <c r="E9">
        <v>-0.30294599999999999</v>
      </c>
      <c r="F9">
        <v>-0.27174399999999999</v>
      </c>
      <c r="G9">
        <v>-0.27174399999999999</v>
      </c>
      <c r="H9">
        <v>-0.19722799999999999</v>
      </c>
      <c r="I9">
        <v>-7.7590999999999993E-2</v>
      </c>
      <c r="J9">
        <v>-3.6785999999999999E-2</v>
      </c>
      <c r="K9">
        <v>-0.26291900000000001</v>
      </c>
      <c r="L9">
        <v>-1.6190910000000001</v>
      </c>
      <c r="M9">
        <v>-1.279202</v>
      </c>
    </row>
    <row r="10" spans="1:13" x14ac:dyDescent="0.35">
      <c r="A10">
        <v>8</v>
      </c>
      <c r="B10">
        <v>1.56094</v>
      </c>
      <c r="C10">
        <v>-0.53481699999999999</v>
      </c>
      <c r="D10">
        <v>-0.47581200000000001</v>
      </c>
      <c r="E10">
        <v>-0.15742900000000001</v>
      </c>
      <c r="F10">
        <v>-0.14935399999999999</v>
      </c>
      <c r="G10">
        <v>-0.27174399999999999</v>
      </c>
      <c r="H10">
        <v>-0.258303</v>
      </c>
      <c r="I10">
        <v>0.120086</v>
      </c>
      <c r="J10">
        <v>0.120086</v>
      </c>
      <c r="K10">
        <v>0.37210599999999999</v>
      </c>
      <c r="L10">
        <v>-1.873823</v>
      </c>
      <c r="M10">
        <v>-1.5667359999999999</v>
      </c>
    </row>
    <row r="11" spans="1:13" x14ac:dyDescent="0.35">
      <c r="A11">
        <v>9</v>
      </c>
      <c r="B11">
        <v>-1.300783</v>
      </c>
      <c r="C11">
        <v>8.4445000000000006E-2</v>
      </c>
      <c r="D11">
        <v>2.4319299999999999</v>
      </c>
      <c r="E11">
        <v>0.446019</v>
      </c>
      <c r="F11">
        <v>0.41329500000000002</v>
      </c>
      <c r="G11">
        <v>-0.27174399999999999</v>
      </c>
      <c r="H11">
        <v>0.39512700000000001</v>
      </c>
      <c r="I11">
        <v>0.18635299999999999</v>
      </c>
      <c r="J11">
        <v>-0.16125800000000001</v>
      </c>
      <c r="K11">
        <v>9.3279000000000001E-2</v>
      </c>
      <c r="L11">
        <v>0.33385300000000001</v>
      </c>
      <c r="M11">
        <v>1.6680269999999999</v>
      </c>
    </row>
    <row r="12" spans="1:13" x14ac:dyDescent="0.35">
      <c r="A12">
        <v>10</v>
      </c>
      <c r="B12">
        <v>-0.96411000000000002</v>
      </c>
      <c r="C12">
        <v>0.49728600000000001</v>
      </c>
      <c r="D12">
        <v>-8.8112999999999997E-2</v>
      </c>
      <c r="E12">
        <v>-2.4414999999999999E-2</v>
      </c>
      <c r="F12">
        <v>0.149585</v>
      </c>
      <c r="G12">
        <v>-0.27174399999999999</v>
      </c>
      <c r="H12">
        <v>0.22736200000000001</v>
      </c>
      <c r="I12">
        <v>-7.7590999999999993E-2</v>
      </c>
      <c r="J12">
        <v>-3.6785999999999999E-2</v>
      </c>
      <c r="K12">
        <v>0.18635299999999999</v>
      </c>
      <c r="L12">
        <v>0.248942</v>
      </c>
      <c r="M12">
        <v>-5.7180000000000002E-2</v>
      </c>
    </row>
    <row r="13" spans="1:13" x14ac:dyDescent="0.35">
      <c r="A13">
        <v>11</v>
      </c>
      <c r="B13">
        <v>-1.300783</v>
      </c>
      <c r="C13">
        <v>-0.94765699999999997</v>
      </c>
      <c r="D13">
        <v>0.68728500000000003</v>
      </c>
      <c r="E13">
        <v>0.17006199999999999</v>
      </c>
      <c r="F13">
        <v>0.15124199999999999</v>
      </c>
      <c r="G13">
        <v>-0.27174399999999999</v>
      </c>
      <c r="H13">
        <v>0.31667299999999998</v>
      </c>
      <c r="I13">
        <v>4.6420000000000003E-2</v>
      </c>
      <c r="J13">
        <v>0.120086</v>
      </c>
      <c r="K13">
        <v>0.18635299999999999</v>
      </c>
      <c r="L13">
        <v>-1.1096269999999999</v>
      </c>
      <c r="M13">
        <v>0.230354</v>
      </c>
    </row>
    <row r="14" spans="1:13" x14ac:dyDescent="0.35">
      <c r="A14">
        <v>12</v>
      </c>
      <c r="B14">
        <v>-0.79577299999999995</v>
      </c>
      <c r="C14">
        <v>0.91012599999999999</v>
      </c>
      <c r="D14">
        <v>0.105736</v>
      </c>
      <c r="E14">
        <v>-0.197681</v>
      </c>
      <c r="F14">
        <v>-7.7590999999999993E-2</v>
      </c>
      <c r="G14">
        <v>-0.27174399999999999</v>
      </c>
      <c r="H14">
        <v>-0.19722799999999999</v>
      </c>
      <c r="I14">
        <v>-0.258303</v>
      </c>
      <c r="J14">
        <v>0.120086</v>
      </c>
      <c r="K14">
        <v>0.18635299999999999</v>
      </c>
      <c r="L14">
        <v>-0.260521</v>
      </c>
      <c r="M14">
        <v>-0.77601600000000004</v>
      </c>
    </row>
    <row r="15" spans="1:13" x14ac:dyDescent="0.35">
      <c r="A15">
        <v>13</v>
      </c>
      <c r="B15">
        <v>0.21424699999999999</v>
      </c>
      <c r="C15">
        <v>-1.979759</v>
      </c>
      <c r="D15">
        <v>-0.47581200000000001</v>
      </c>
      <c r="E15">
        <v>-0.21104899999999999</v>
      </c>
      <c r="F15">
        <v>-0.27174399999999999</v>
      </c>
      <c r="G15">
        <v>-0.27174399999999999</v>
      </c>
      <c r="H15">
        <v>0.22736200000000001</v>
      </c>
      <c r="I15">
        <v>-0.258303</v>
      </c>
      <c r="J15">
        <v>-0.16125800000000001</v>
      </c>
      <c r="K15">
        <v>-9.3279000000000001E-2</v>
      </c>
      <c r="L15">
        <v>0.50367399999999996</v>
      </c>
      <c r="M15">
        <v>-0.27283099999999999</v>
      </c>
    </row>
    <row r="16" spans="1:13" x14ac:dyDescent="0.35">
      <c r="A16">
        <v>14</v>
      </c>
      <c r="B16">
        <v>-0.79577299999999995</v>
      </c>
      <c r="C16">
        <v>0.70370600000000005</v>
      </c>
      <c r="D16">
        <v>0.105736</v>
      </c>
      <c r="E16">
        <v>0.17446900000000001</v>
      </c>
      <c r="F16">
        <v>-0.27174399999999999</v>
      </c>
      <c r="G16">
        <v>-0.27174399999999999</v>
      </c>
      <c r="H16">
        <v>-0.258303</v>
      </c>
      <c r="I16">
        <v>-0.258303</v>
      </c>
      <c r="J16">
        <v>-3.6785999999999999E-2</v>
      </c>
      <c r="K16">
        <v>0.22736200000000001</v>
      </c>
      <c r="L16">
        <v>-0.68507399999999996</v>
      </c>
      <c r="M16">
        <v>-1.3510850000000001</v>
      </c>
    </row>
    <row r="17" spans="1:13" x14ac:dyDescent="0.35">
      <c r="A17">
        <v>15</v>
      </c>
      <c r="B17">
        <v>-0.62743700000000002</v>
      </c>
      <c r="C17">
        <v>-0.53481699999999999</v>
      </c>
      <c r="D17">
        <v>-8.8112999999999997E-2</v>
      </c>
      <c r="E17">
        <v>-0.13580500000000001</v>
      </c>
      <c r="F17">
        <v>-0.14935399999999999</v>
      </c>
      <c r="G17">
        <v>-0.27174399999999999</v>
      </c>
      <c r="H17">
        <v>-4.5541999999999999E-2</v>
      </c>
      <c r="I17">
        <v>-5.2083999999999998E-2</v>
      </c>
      <c r="J17">
        <v>5.5927999999999999E-2</v>
      </c>
      <c r="K17">
        <v>0.37210599999999999</v>
      </c>
      <c r="L17">
        <v>0.92822700000000002</v>
      </c>
      <c r="M17">
        <v>-5.7180000000000002E-2</v>
      </c>
    </row>
    <row r="18" spans="1:13" x14ac:dyDescent="0.35">
      <c r="A18">
        <v>16</v>
      </c>
      <c r="B18">
        <v>0.88759299999999997</v>
      </c>
      <c r="C18">
        <v>0.29086499999999998</v>
      </c>
      <c r="D18">
        <v>-0.47581200000000001</v>
      </c>
      <c r="E18">
        <v>-7.0951E-2</v>
      </c>
      <c r="F18">
        <v>-0.14935399999999999</v>
      </c>
      <c r="G18">
        <v>-0.27174399999999999</v>
      </c>
      <c r="H18">
        <v>0.22736200000000001</v>
      </c>
      <c r="I18">
        <v>0.18635299999999999</v>
      </c>
      <c r="J18">
        <v>-3.6785999999999999E-2</v>
      </c>
      <c r="K18">
        <v>-2.6336999999999999E-2</v>
      </c>
      <c r="L18">
        <v>1.3527800000000001</v>
      </c>
      <c r="M18">
        <v>-0.77601600000000004</v>
      </c>
    </row>
    <row r="19" spans="1:13" x14ac:dyDescent="0.35">
      <c r="A19">
        <v>17</v>
      </c>
      <c r="B19">
        <v>4.5909999999999999E-2</v>
      </c>
      <c r="C19">
        <v>1.322967</v>
      </c>
      <c r="D19">
        <v>-1.057361</v>
      </c>
      <c r="E19">
        <v>5.6906999999999999E-2</v>
      </c>
      <c r="F19">
        <v>0.49728600000000001</v>
      </c>
      <c r="G19">
        <v>-0.27174399999999999</v>
      </c>
      <c r="H19">
        <v>0.39512700000000001</v>
      </c>
      <c r="I19">
        <v>-0.258303</v>
      </c>
      <c r="J19">
        <v>0.120086</v>
      </c>
      <c r="K19">
        <v>0.37210599999999999</v>
      </c>
      <c r="L19">
        <v>-0.34543200000000002</v>
      </c>
      <c r="M19">
        <v>-0.56036600000000003</v>
      </c>
    </row>
    <row r="20" spans="1:13" x14ac:dyDescent="0.35">
      <c r="A20">
        <v>18</v>
      </c>
      <c r="B20">
        <v>-0.12242699999999999</v>
      </c>
      <c r="C20">
        <v>-0.94765699999999997</v>
      </c>
      <c r="D20">
        <v>1.6565319999999999</v>
      </c>
      <c r="E20">
        <v>-5.0078999999999999E-2</v>
      </c>
      <c r="F20">
        <v>0.21526100000000001</v>
      </c>
      <c r="G20">
        <v>-0.27174399999999999</v>
      </c>
      <c r="H20">
        <v>0.22736200000000001</v>
      </c>
      <c r="I20">
        <v>-5.2083999999999998E-2</v>
      </c>
      <c r="J20">
        <v>0.120086</v>
      </c>
      <c r="K20">
        <v>-2.6336999999999999E-2</v>
      </c>
      <c r="L20">
        <v>-5.7889999999999999E-3</v>
      </c>
      <c r="M20">
        <v>1.3804920000000001</v>
      </c>
    </row>
    <row r="21" spans="1:13" x14ac:dyDescent="0.35">
      <c r="A21">
        <v>19</v>
      </c>
      <c r="B21">
        <v>4.5909999999999999E-2</v>
      </c>
      <c r="C21">
        <v>2.1486489999999998</v>
      </c>
      <c r="D21">
        <v>0.49343500000000001</v>
      </c>
      <c r="E21">
        <v>0.26257599999999998</v>
      </c>
      <c r="F21">
        <v>0.22736200000000001</v>
      </c>
      <c r="G21">
        <v>-0.27174399999999999</v>
      </c>
      <c r="H21">
        <v>0.120086</v>
      </c>
      <c r="I21">
        <v>-5.2083999999999998E-2</v>
      </c>
      <c r="J21">
        <v>-3.6785999999999999E-2</v>
      </c>
      <c r="K21">
        <v>2.6317E-2</v>
      </c>
      <c r="L21">
        <v>0.58858500000000002</v>
      </c>
      <c r="M21">
        <v>0.158471</v>
      </c>
    </row>
    <row r="22" spans="1:13" x14ac:dyDescent="0.35">
      <c r="A22">
        <v>20</v>
      </c>
      <c r="B22">
        <v>4.5909999999999999E-2</v>
      </c>
      <c r="C22">
        <v>-1.1540779999999999</v>
      </c>
      <c r="D22">
        <v>-1.832759</v>
      </c>
      <c r="E22">
        <v>-0.17955699999999999</v>
      </c>
      <c r="F22">
        <v>-0.14935399999999999</v>
      </c>
      <c r="G22">
        <v>-0.27174399999999999</v>
      </c>
      <c r="H22">
        <v>0.39512700000000001</v>
      </c>
      <c r="I22">
        <v>-0.258303</v>
      </c>
      <c r="J22">
        <v>-3.6785999999999999E-2</v>
      </c>
      <c r="K22">
        <v>4.6420000000000003E-2</v>
      </c>
      <c r="L22">
        <v>-1.6190910000000001</v>
      </c>
      <c r="M22">
        <v>-0.34471499999999999</v>
      </c>
    </row>
    <row r="23" spans="1:13" x14ac:dyDescent="0.35">
      <c r="A23">
        <v>21</v>
      </c>
      <c r="B23">
        <v>-0.79577299999999995</v>
      </c>
      <c r="C23">
        <v>0.49728600000000001</v>
      </c>
      <c r="D23">
        <v>0.68728500000000003</v>
      </c>
      <c r="E23">
        <v>-0.209616</v>
      </c>
      <c r="F23">
        <v>-0.27174399999999999</v>
      </c>
      <c r="G23">
        <v>-0.27174399999999999</v>
      </c>
      <c r="H23">
        <v>-0.19722799999999999</v>
      </c>
      <c r="I23">
        <v>0.18635299999999999</v>
      </c>
      <c r="J23">
        <v>0.120086</v>
      </c>
      <c r="K23">
        <v>0.18635299999999999</v>
      </c>
      <c r="L23">
        <v>0.248942</v>
      </c>
      <c r="M23">
        <v>-0.63224899999999995</v>
      </c>
    </row>
    <row r="24" spans="1:13" x14ac:dyDescent="0.35">
      <c r="A24">
        <v>22</v>
      </c>
      <c r="B24">
        <v>-2.4791400000000001</v>
      </c>
      <c r="C24">
        <v>1.529388</v>
      </c>
      <c r="D24">
        <v>0.68728500000000003</v>
      </c>
      <c r="E24">
        <v>-0.19945599999999999</v>
      </c>
      <c r="F24">
        <v>6.2935000000000005E-2</v>
      </c>
      <c r="G24">
        <v>-0.27174399999999999</v>
      </c>
      <c r="H24">
        <v>0.31667299999999998</v>
      </c>
      <c r="I24">
        <v>0.22736200000000001</v>
      </c>
      <c r="J24">
        <v>-0.16125800000000001</v>
      </c>
      <c r="K24">
        <v>-2.6336999999999999E-2</v>
      </c>
      <c r="L24">
        <v>-0.260521</v>
      </c>
      <c r="M24">
        <v>-0.48848200000000003</v>
      </c>
    </row>
    <row r="25" spans="1:13" x14ac:dyDescent="0.35">
      <c r="A25">
        <v>23</v>
      </c>
      <c r="B25">
        <v>-0.79577299999999995</v>
      </c>
      <c r="C25">
        <v>0.29086499999999998</v>
      </c>
      <c r="D25">
        <v>1.0749839999999999</v>
      </c>
      <c r="E25">
        <v>-0.124281</v>
      </c>
      <c r="F25">
        <v>0.25122899999999998</v>
      </c>
      <c r="G25">
        <v>-0.27174399999999999</v>
      </c>
      <c r="H25">
        <v>-0.258303</v>
      </c>
      <c r="I25">
        <v>4.6420000000000003E-2</v>
      </c>
      <c r="J25">
        <v>5.5927999999999999E-2</v>
      </c>
      <c r="K25">
        <v>0.37210599999999999</v>
      </c>
      <c r="L25">
        <v>-0.68507399999999996</v>
      </c>
      <c r="M25">
        <v>-5.7180000000000002E-2</v>
      </c>
    </row>
    <row r="26" spans="1:13" x14ac:dyDescent="0.35">
      <c r="A26">
        <v>24</v>
      </c>
      <c r="B26">
        <v>4.5909999999999999E-2</v>
      </c>
      <c r="C26">
        <v>-0.74123700000000003</v>
      </c>
      <c r="D26">
        <v>0.105736</v>
      </c>
      <c r="E26">
        <v>-9.8738000000000006E-2</v>
      </c>
      <c r="F26">
        <v>-0.14935399999999999</v>
      </c>
      <c r="G26">
        <v>-0.27174399999999999</v>
      </c>
      <c r="H26">
        <v>0.22736200000000001</v>
      </c>
      <c r="I26">
        <v>-0.258303</v>
      </c>
      <c r="J26">
        <v>-0.16125800000000001</v>
      </c>
      <c r="K26">
        <v>-2.6336999999999999E-2</v>
      </c>
      <c r="L26">
        <v>-1.2794479999999999</v>
      </c>
      <c r="M26">
        <v>-0.56036600000000003</v>
      </c>
    </row>
    <row r="27" spans="1:13" x14ac:dyDescent="0.35">
      <c r="A27">
        <v>25</v>
      </c>
      <c r="B27">
        <v>0.88759299999999997</v>
      </c>
      <c r="C27">
        <v>-0.32839600000000002</v>
      </c>
      <c r="D27">
        <v>-8.8112999999999997E-2</v>
      </c>
      <c r="E27">
        <v>0.15016299999999999</v>
      </c>
      <c r="F27">
        <v>0.49629200000000001</v>
      </c>
      <c r="G27">
        <v>-0.27174399999999999</v>
      </c>
      <c r="H27">
        <v>0.22736200000000001</v>
      </c>
      <c r="I27">
        <v>-0.258303</v>
      </c>
      <c r="J27">
        <v>0.120086</v>
      </c>
      <c r="K27">
        <v>-3.6785999999999999E-2</v>
      </c>
      <c r="L27">
        <v>2.7113499999999999</v>
      </c>
      <c r="M27">
        <v>0.51788900000000004</v>
      </c>
    </row>
    <row r="28" spans="1:13" x14ac:dyDescent="0.35">
      <c r="A28">
        <v>26</v>
      </c>
      <c r="B28">
        <v>0.71925700000000004</v>
      </c>
      <c r="C28">
        <v>0.29086499999999998</v>
      </c>
      <c r="D28">
        <v>-1.44506</v>
      </c>
      <c r="E28">
        <v>0.120086</v>
      </c>
      <c r="F28">
        <v>0.18635299999999999</v>
      </c>
      <c r="G28">
        <v>-0.27174399999999999</v>
      </c>
      <c r="H28">
        <v>-0.258303</v>
      </c>
      <c r="I28">
        <v>0.120086</v>
      </c>
      <c r="J28">
        <v>-3.6785999999999999E-2</v>
      </c>
      <c r="K28">
        <v>-2.6336999999999999E-2</v>
      </c>
      <c r="L28">
        <v>-0.34543200000000002</v>
      </c>
      <c r="M28">
        <v>-5.7180000000000002E-2</v>
      </c>
    </row>
    <row r="29" spans="1:13" x14ac:dyDescent="0.35">
      <c r="A29">
        <v>27</v>
      </c>
      <c r="B29">
        <v>-2.4791400000000001</v>
      </c>
      <c r="C29">
        <v>0.70370600000000005</v>
      </c>
      <c r="D29">
        <v>-0.47581200000000001</v>
      </c>
      <c r="E29">
        <v>-0.209616</v>
      </c>
      <c r="F29">
        <v>-0.14935399999999999</v>
      </c>
      <c r="G29">
        <v>-0.27174399999999999</v>
      </c>
      <c r="H29">
        <v>-4.5541999999999999E-2</v>
      </c>
      <c r="I29">
        <v>0.22736200000000001</v>
      </c>
      <c r="J29">
        <v>-3.6785999999999999E-2</v>
      </c>
      <c r="K29">
        <v>0.18635299999999999</v>
      </c>
      <c r="L29">
        <v>0.248942</v>
      </c>
      <c r="M29">
        <v>-0.56036600000000003</v>
      </c>
    </row>
    <row r="30" spans="1:13" x14ac:dyDescent="0.35">
      <c r="A30">
        <v>28</v>
      </c>
      <c r="B30">
        <v>-0.96411000000000002</v>
      </c>
      <c r="C30">
        <v>-0.74123700000000003</v>
      </c>
      <c r="D30">
        <v>-1.832759</v>
      </c>
      <c r="E30">
        <v>-0.246479</v>
      </c>
      <c r="F30">
        <v>-0.14935399999999999</v>
      </c>
      <c r="G30">
        <v>-0.27174399999999999</v>
      </c>
      <c r="H30">
        <v>-0.258303</v>
      </c>
      <c r="I30">
        <v>0.18635299999999999</v>
      </c>
      <c r="J30">
        <v>0.120086</v>
      </c>
      <c r="K30">
        <v>4.6420000000000003E-2</v>
      </c>
      <c r="L30">
        <v>-0.430342</v>
      </c>
      <c r="M30">
        <v>0.51788900000000004</v>
      </c>
    </row>
    <row r="31" spans="1:13" x14ac:dyDescent="0.35">
      <c r="A31">
        <v>29</v>
      </c>
      <c r="B31">
        <v>0.21424699999999999</v>
      </c>
      <c r="C31">
        <v>8.4445000000000006E-2</v>
      </c>
      <c r="D31">
        <v>0.29958600000000002</v>
      </c>
      <c r="E31">
        <v>-0.14136299999999999</v>
      </c>
      <c r="F31">
        <v>-0.14935399999999999</v>
      </c>
      <c r="G31">
        <v>-0.27174399999999999</v>
      </c>
      <c r="H31">
        <v>0.22736200000000001</v>
      </c>
      <c r="I31">
        <v>-0.258303</v>
      </c>
      <c r="J31">
        <v>0.120086</v>
      </c>
      <c r="K31">
        <v>-2.6336999999999999E-2</v>
      </c>
      <c r="L31">
        <v>-5.7889999999999999E-3</v>
      </c>
      <c r="M31">
        <v>-0.77601600000000004</v>
      </c>
    </row>
    <row r="32" spans="1:13" x14ac:dyDescent="0.35">
      <c r="A32">
        <v>30</v>
      </c>
      <c r="B32">
        <v>0.55091999999999997</v>
      </c>
      <c r="C32">
        <v>1.116547</v>
      </c>
      <c r="D32">
        <v>-1.44506</v>
      </c>
      <c r="E32">
        <v>-5.0078999999999999E-2</v>
      </c>
      <c r="F32">
        <v>0.33510400000000001</v>
      </c>
      <c r="G32">
        <v>-0.27174399999999999</v>
      </c>
      <c r="H32">
        <v>-4.5541999999999999E-2</v>
      </c>
      <c r="I32">
        <v>-5.2083999999999998E-2</v>
      </c>
      <c r="J32">
        <v>0.18635299999999999</v>
      </c>
      <c r="K32">
        <v>0.37210599999999999</v>
      </c>
      <c r="L32">
        <v>0.75840600000000002</v>
      </c>
      <c r="M32">
        <v>-0.12906400000000001</v>
      </c>
    </row>
    <row r="33" spans="1:13" x14ac:dyDescent="0.35">
      <c r="A33">
        <v>31</v>
      </c>
      <c r="B33">
        <v>1.897613</v>
      </c>
      <c r="C33">
        <v>-0.74123700000000003</v>
      </c>
      <c r="D33">
        <v>-8.8112999999999997E-2</v>
      </c>
      <c r="E33">
        <v>0.44849800000000001</v>
      </c>
      <c r="F33">
        <v>0.49629200000000001</v>
      </c>
      <c r="G33">
        <v>-0.27174399999999999</v>
      </c>
      <c r="H33">
        <v>0.31667299999999998</v>
      </c>
      <c r="I33">
        <v>0.22736200000000001</v>
      </c>
      <c r="J33">
        <v>-4.5541999999999999E-2</v>
      </c>
      <c r="K33">
        <v>0.18635299999999999</v>
      </c>
      <c r="L33">
        <v>-0.93980600000000003</v>
      </c>
      <c r="M33">
        <v>0.51788900000000004</v>
      </c>
    </row>
    <row r="34" spans="1:13" x14ac:dyDescent="0.35">
      <c r="A34">
        <v>32</v>
      </c>
      <c r="B34">
        <v>0.55091999999999997</v>
      </c>
      <c r="C34">
        <v>0.29086499999999998</v>
      </c>
      <c r="D34">
        <v>-8.8112999999999997E-2</v>
      </c>
      <c r="E34">
        <v>-7.0951E-2</v>
      </c>
      <c r="F34">
        <v>-0.14935399999999999</v>
      </c>
      <c r="G34">
        <v>-0.27174399999999999</v>
      </c>
      <c r="H34">
        <v>-4.5541999999999999E-2</v>
      </c>
      <c r="I34">
        <v>-0.258303</v>
      </c>
      <c r="J34">
        <v>0.120086</v>
      </c>
      <c r="K34">
        <v>0.37210599999999999</v>
      </c>
      <c r="L34">
        <v>-1.6190910000000001</v>
      </c>
      <c r="M34">
        <v>-0.70413300000000001</v>
      </c>
    </row>
    <row r="35" spans="1:13" x14ac:dyDescent="0.35">
      <c r="A35">
        <v>33</v>
      </c>
      <c r="B35">
        <v>-0.45910000000000001</v>
      </c>
      <c r="C35">
        <v>-1.1540779999999999</v>
      </c>
      <c r="D35">
        <v>-1.44506</v>
      </c>
      <c r="E35">
        <v>-0.18393200000000001</v>
      </c>
      <c r="F35">
        <v>-0.14935399999999999</v>
      </c>
      <c r="G35">
        <v>-0.27174399999999999</v>
      </c>
      <c r="H35">
        <v>0.22736200000000001</v>
      </c>
      <c r="I35">
        <v>0.18635299999999999</v>
      </c>
      <c r="J35">
        <v>-0.16125800000000001</v>
      </c>
      <c r="K35">
        <v>4.6420000000000003E-2</v>
      </c>
      <c r="L35">
        <v>0.58858500000000002</v>
      </c>
      <c r="M35">
        <v>1.6680269999999999</v>
      </c>
    </row>
    <row r="36" spans="1:13" x14ac:dyDescent="0.35">
      <c r="A36">
        <v>34</v>
      </c>
      <c r="B36">
        <v>-0.12242699999999999</v>
      </c>
      <c r="C36">
        <v>-1.1540779999999999</v>
      </c>
      <c r="D36">
        <v>0.105736</v>
      </c>
      <c r="E36">
        <v>-0.159661</v>
      </c>
      <c r="F36">
        <v>-0.14935399999999999</v>
      </c>
      <c r="G36">
        <v>-0.27174399999999999</v>
      </c>
      <c r="H36">
        <v>-0.258303</v>
      </c>
      <c r="I36">
        <v>-0.258303</v>
      </c>
      <c r="J36">
        <v>0.120086</v>
      </c>
      <c r="K36">
        <v>-2.6336999999999999E-2</v>
      </c>
      <c r="L36">
        <v>-0.34543200000000002</v>
      </c>
      <c r="M36">
        <v>-0.48848200000000003</v>
      </c>
    </row>
    <row r="37" spans="1:13" x14ac:dyDescent="0.35">
      <c r="A37">
        <v>35</v>
      </c>
      <c r="B37">
        <v>1.05593</v>
      </c>
      <c r="C37">
        <v>1.735808</v>
      </c>
      <c r="D37">
        <v>-1.057361</v>
      </c>
      <c r="E37">
        <v>0.446019</v>
      </c>
      <c r="F37">
        <v>4.6420000000000003E-2</v>
      </c>
      <c r="G37">
        <v>-0.27174399999999999</v>
      </c>
      <c r="H37">
        <v>-0.258303</v>
      </c>
      <c r="I37">
        <v>0.22736200000000001</v>
      </c>
      <c r="J37">
        <v>-0.16125800000000001</v>
      </c>
      <c r="K37">
        <v>4.6420000000000003E-2</v>
      </c>
      <c r="L37">
        <v>2.201886</v>
      </c>
      <c r="M37">
        <v>1.8117939999999999</v>
      </c>
    </row>
    <row r="38" spans="1:13" x14ac:dyDescent="0.35">
      <c r="A38">
        <v>36</v>
      </c>
      <c r="B38">
        <v>0.21424699999999999</v>
      </c>
      <c r="C38">
        <v>-0.74123700000000003</v>
      </c>
      <c r="D38">
        <v>1.0749839999999999</v>
      </c>
      <c r="E38">
        <v>-5.0078999999999999E-2</v>
      </c>
      <c r="F38">
        <v>-0.14935399999999999</v>
      </c>
      <c r="G38">
        <v>-0.27174399999999999</v>
      </c>
      <c r="H38">
        <v>0.31667299999999998</v>
      </c>
      <c r="I38">
        <v>0.22736200000000001</v>
      </c>
      <c r="J38">
        <v>0.120086</v>
      </c>
      <c r="K38">
        <v>0.18635299999999999</v>
      </c>
      <c r="L38">
        <v>0.58858500000000002</v>
      </c>
      <c r="M38">
        <v>1.3804920000000001</v>
      </c>
    </row>
    <row r="39" spans="1:13" x14ac:dyDescent="0.35">
      <c r="A39">
        <v>37</v>
      </c>
      <c r="B39">
        <v>0.71925700000000004</v>
      </c>
      <c r="C39">
        <v>-0.32839600000000002</v>
      </c>
      <c r="D39">
        <v>0.68728500000000003</v>
      </c>
      <c r="E39">
        <v>-7.0951E-2</v>
      </c>
      <c r="F39">
        <v>0.49629200000000001</v>
      </c>
      <c r="G39">
        <v>-0.27174399999999999</v>
      </c>
      <c r="H39">
        <v>-4.5541999999999999E-2</v>
      </c>
      <c r="I39">
        <v>0.120086</v>
      </c>
      <c r="J39">
        <v>0.120086</v>
      </c>
      <c r="K39">
        <v>-3.6785999999999999E-2</v>
      </c>
      <c r="L39">
        <v>-0.430342</v>
      </c>
      <c r="M39">
        <v>0.51788900000000004</v>
      </c>
    </row>
    <row r="40" spans="1:13" x14ac:dyDescent="0.35">
      <c r="A40">
        <v>38</v>
      </c>
      <c r="B40">
        <v>-0.45910000000000001</v>
      </c>
      <c r="C40">
        <v>-0.53481699999999999</v>
      </c>
      <c r="D40">
        <v>0.105736</v>
      </c>
      <c r="E40">
        <v>-7.0951E-2</v>
      </c>
      <c r="F40">
        <v>0.149585</v>
      </c>
      <c r="G40">
        <v>-0.27174399999999999</v>
      </c>
      <c r="H40">
        <v>-4.5541999999999999E-2</v>
      </c>
      <c r="I40">
        <v>-0.258303</v>
      </c>
      <c r="J40">
        <v>-3.6785999999999999E-2</v>
      </c>
      <c r="K40">
        <v>0.18635299999999999</v>
      </c>
      <c r="L40">
        <v>0.248942</v>
      </c>
      <c r="M40">
        <v>-1.0635509999999999</v>
      </c>
    </row>
    <row r="41" spans="1:13" x14ac:dyDescent="0.35">
      <c r="A41">
        <v>39</v>
      </c>
      <c r="B41">
        <v>4.5909999999999999E-2</v>
      </c>
      <c r="C41">
        <v>-0.74123700000000003</v>
      </c>
      <c r="D41">
        <v>1.850382</v>
      </c>
      <c r="E41">
        <v>-7.0951E-2</v>
      </c>
      <c r="F41">
        <v>-0.14935399999999999</v>
      </c>
      <c r="G41">
        <v>-0.27174399999999999</v>
      </c>
      <c r="H41">
        <v>0.31667299999999998</v>
      </c>
      <c r="I41">
        <v>0.22736200000000001</v>
      </c>
      <c r="J41">
        <v>0.120086</v>
      </c>
      <c r="K41">
        <v>-3.6785999999999999E-2</v>
      </c>
      <c r="L41">
        <v>1.7773330000000001</v>
      </c>
      <c r="M41">
        <v>0.51788900000000004</v>
      </c>
    </row>
    <row r="42" spans="1:13" x14ac:dyDescent="0.35">
      <c r="A42">
        <v>40</v>
      </c>
      <c r="B42">
        <v>1.05593</v>
      </c>
      <c r="C42">
        <v>8.4445000000000006E-2</v>
      </c>
      <c r="D42">
        <v>-1.2512110000000001</v>
      </c>
      <c r="E42">
        <v>0.44714599999999999</v>
      </c>
      <c r="F42">
        <v>4.6420000000000003E-2</v>
      </c>
      <c r="G42">
        <v>-0.27174399999999999</v>
      </c>
      <c r="H42">
        <v>-4.5541999999999999E-2</v>
      </c>
      <c r="I42">
        <v>0.22736200000000001</v>
      </c>
      <c r="J42">
        <v>0.18635299999999999</v>
      </c>
      <c r="K42">
        <v>-0.16125800000000001</v>
      </c>
      <c r="L42">
        <v>-9.0700000000000003E-2</v>
      </c>
      <c r="M42">
        <v>3.249466</v>
      </c>
    </row>
    <row r="43" spans="1:13" x14ac:dyDescent="0.35">
      <c r="A43">
        <v>41</v>
      </c>
      <c r="B43">
        <v>0.55091999999999997</v>
      </c>
      <c r="C43">
        <v>-2.8054410000000001</v>
      </c>
      <c r="D43">
        <v>-0.86351199999999995</v>
      </c>
      <c r="E43">
        <v>4.6420000000000003E-2</v>
      </c>
      <c r="F43">
        <v>0.18868699999999999</v>
      </c>
      <c r="G43">
        <v>-0.27174399999999999</v>
      </c>
      <c r="H43">
        <v>-4.5541999999999999E-2</v>
      </c>
      <c r="I43">
        <v>-0.258303</v>
      </c>
      <c r="J43">
        <v>0.120086</v>
      </c>
      <c r="K43">
        <v>-3.6785999999999999E-2</v>
      </c>
      <c r="L43">
        <v>0.75840600000000002</v>
      </c>
      <c r="M43">
        <v>1.4703000000000001E-2</v>
      </c>
    </row>
    <row r="44" spans="1:13" x14ac:dyDescent="0.35">
      <c r="A44">
        <v>42</v>
      </c>
      <c r="B44">
        <v>2.2342870000000001</v>
      </c>
      <c r="C44">
        <v>-1.1540779999999999</v>
      </c>
      <c r="D44">
        <v>0.105736</v>
      </c>
      <c r="E44">
        <v>0.48812299999999997</v>
      </c>
      <c r="F44">
        <v>0.22736200000000001</v>
      </c>
      <c r="G44">
        <v>-0.27174399999999999</v>
      </c>
      <c r="H44">
        <v>0.31667299999999998</v>
      </c>
      <c r="I44">
        <v>0.22736200000000001</v>
      </c>
      <c r="J44">
        <v>-0.16125800000000001</v>
      </c>
      <c r="K44">
        <v>-2.6336999999999999E-2</v>
      </c>
      <c r="L44">
        <v>0.58858500000000002</v>
      </c>
      <c r="M44">
        <v>-0.34471499999999999</v>
      </c>
    </row>
    <row r="45" spans="1:13" x14ac:dyDescent="0.35">
      <c r="A45">
        <v>43</v>
      </c>
      <c r="B45">
        <v>1.729277</v>
      </c>
      <c r="C45">
        <v>0.49728600000000001</v>
      </c>
      <c r="D45">
        <v>0.49343500000000001</v>
      </c>
      <c r="E45">
        <v>0.17446900000000001</v>
      </c>
      <c r="F45">
        <v>-0.14935399999999999</v>
      </c>
      <c r="G45">
        <v>-0.27174399999999999</v>
      </c>
      <c r="H45">
        <v>0.22736200000000001</v>
      </c>
      <c r="I45">
        <v>-0.258303</v>
      </c>
      <c r="J45">
        <v>0.120086</v>
      </c>
      <c r="K45">
        <v>-3.6785999999999999E-2</v>
      </c>
      <c r="L45">
        <v>-0.260521</v>
      </c>
      <c r="M45">
        <v>-5.7180000000000002E-2</v>
      </c>
    </row>
    <row r="46" spans="1:13" x14ac:dyDescent="0.35">
      <c r="A46">
        <v>44</v>
      </c>
      <c r="B46">
        <v>0.38258300000000001</v>
      </c>
      <c r="C46">
        <v>0.91012599999999999</v>
      </c>
      <c r="D46">
        <v>1.2688330000000001</v>
      </c>
      <c r="E46">
        <v>4.6420000000000003E-2</v>
      </c>
      <c r="F46">
        <v>0.41329500000000002</v>
      </c>
      <c r="G46">
        <v>-0.27174399999999999</v>
      </c>
      <c r="H46">
        <v>0.31667299999999998</v>
      </c>
      <c r="I46">
        <v>0.22736200000000001</v>
      </c>
      <c r="J46">
        <v>0.18635299999999999</v>
      </c>
      <c r="K46">
        <v>0.37210599999999999</v>
      </c>
      <c r="L46">
        <v>-5.7889999999999999E-3</v>
      </c>
      <c r="M46">
        <v>1.5242599999999999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(FA24-RSE-005) MARIA MANZOOR</cp:lastModifiedBy>
  <dcterms:created xsi:type="dcterms:W3CDTF">2026-02-20T13:39:10Z</dcterms:created>
  <dcterms:modified xsi:type="dcterms:W3CDTF">2026-05-04T14:00:32Z</dcterms:modified>
</cp:coreProperties>
</file>